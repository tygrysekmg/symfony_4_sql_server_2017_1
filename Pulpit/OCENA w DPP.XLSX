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media/image2.png" ContentType="image/png"/>
  <Override PartName="/xl/media/image1.png" ContentType="image/png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karta oceny" sheetId="1" state="hidden" r:id="rId2"/>
    <sheet name="ARKUSZ INFORMACJI ZWROTNEJ" sheetId="2" state="visible" r:id="rId3"/>
    <sheet name="Arkusz1" sheetId="3" state="hidden" r:id="rId4"/>
  </sheets>
  <definedNames>
    <definedName function="false" hidden="false" localSheetId="1" name="_xlnm.Print_Area" vbProcedure="false">'ARKUSZ INFORMACJI ZWROTNEJ'!$B$1:$N$41</definedName>
    <definedName function="false" hidden="false" localSheetId="0" name="_xlnm.Print_Area" vbProcedure="false">'karta oceny'!$B$2:$M$186</definedName>
    <definedName function="false" hidden="false" localSheetId="0" name="_xlnm.Print_Area" vbProcedure="false">'karta oceny'!$B$2:$M$186</definedName>
    <definedName function="false" hidden="false" localSheetId="1" name="_xlnm.Print_Area" vbProcedure="false">'ARKUSZ INFORMACJI ZWROTNEJ'!$B$1:$N$41</definedName>
    <definedName function="false" hidden="false" localSheetId="2" name="_xlnm._FilterDatabase" vbProcedure="false">Arkusz1!$A$1:$B$1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/>
  </authors>
  <commentList>
    <comment ref="D31" authorId="0">
      <text>
        <r>
          <rPr>
            <sz val="9"/>
            <color rgb="FF000000"/>
            <rFont val="Tahoma"/>
            <family val="2"/>
            <charset val="238"/>
          </rPr>
          <t xml:space="preserve">w tym miejscu możesz wybrać wariant dotyczący punktów wymagających bezwzględnej poprawy przez pracownika</t>
        </r>
      </text>
    </comment>
  </commentList>
</comments>
</file>

<file path=xl/sharedStrings.xml><?xml version="1.0" encoding="utf-8"?>
<sst xmlns="http://schemas.openxmlformats.org/spreadsheetml/2006/main" count="325" uniqueCount="190">
  <si>
    <t xml:space="preserve">Imię i nazwisko pracownika:</t>
  </si>
  <si>
    <t xml:space="preserve">data oceny:</t>
  </si>
  <si>
    <t xml:space="preserve">Aktualne stanowisko z umowy:</t>
  </si>
  <si>
    <t xml:space="preserve">Imię i nazwisko oceniającego:</t>
  </si>
  <si>
    <t xml:space="preserve">Dział:</t>
  </si>
  <si>
    <t xml:space="preserve">A</t>
  </si>
  <si>
    <t xml:space="preserve">B</t>
  </si>
  <si>
    <r>
      <rPr>
        <b val="true"/>
        <sz val="9"/>
        <color rgb="FF00FFCC"/>
        <rFont val="Calibri"/>
        <family val="2"/>
        <charset val="238"/>
      </rPr>
      <t xml:space="preserve">A </t>
    </r>
    <r>
      <rPr>
        <b val="true"/>
        <sz val="9"/>
        <color rgb="FFA6A6A6"/>
        <rFont val="Calibri"/>
        <family val="2"/>
        <charset val="238"/>
      </rPr>
      <t xml:space="preserve">Wzorowo</t>
    </r>
    <r>
      <rPr>
        <sz val="9"/>
        <color rgb="FFA6A6A6"/>
        <rFont val="Calibri"/>
        <family val="2"/>
        <charset val="238"/>
      </rPr>
      <t xml:space="preserve"> - normy/założenia/oczekiwania zostały przekroczone</t>
    </r>
  </si>
  <si>
    <t xml:space="preserve">C</t>
  </si>
  <si>
    <r>
      <rPr>
        <b val="true"/>
        <sz val="9"/>
        <color rgb="FF00FFCC"/>
        <rFont val="Calibri"/>
        <family val="2"/>
        <charset val="238"/>
      </rPr>
      <t xml:space="preserve">B </t>
    </r>
    <r>
      <rPr>
        <b val="true"/>
        <sz val="9"/>
        <color rgb="FFA6A6A6"/>
        <rFont val="Calibri"/>
        <family val="2"/>
        <charset val="238"/>
      </rPr>
      <t xml:space="preserve">Bardzo dobrze</t>
    </r>
    <r>
      <rPr>
        <sz val="9"/>
        <color rgb="FFA6A6A6"/>
        <rFont val="Calibri"/>
        <family val="2"/>
        <charset val="238"/>
      </rPr>
      <t xml:space="preserve"> - normy/założenia/oczekiwania zostały spełnione w stu procentach</t>
    </r>
  </si>
  <si>
    <t xml:space="preserve">D</t>
  </si>
  <si>
    <r>
      <rPr>
        <b val="true"/>
        <sz val="9"/>
        <color rgb="FF00FFCC"/>
        <rFont val="Calibri"/>
        <family val="2"/>
        <charset val="238"/>
      </rPr>
      <t xml:space="preserve">C </t>
    </r>
    <r>
      <rPr>
        <b val="true"/>
        <sz val="9"/>
        <color rgb="FFA6A6A6"/>
        <rFont val="Calibri"/>
        <family val="2"/>
        <charset val="238"/>
      </rPr>
      <t xml:space="preserve">Dobrze</t>
    </r>
    <r>
      <rPr>
        <sz val="9"/>
        <color rgb="FFA6A6A6"/>
        <rFont val="Calibri"/>
        <family val="2"/>
        <charset val="238"/>
      </rPr>
      <t xml:space="preserve"> - normy/założenia/oczekiwania zostały co do zasady spełnione</t>
    </r>
  </si>
  <si>
    <r>
      <rPr>
        <b val="true"/>
        <sz val="9"/>
        <color rgb="FF00FFCC"/>
        <rFont val="Calibri"/>
        <family val="2"/>
        <charset val="238"/>
      </rPr>
      <t xml:space="preserve">D </t>
    </r>
    <r>
      <rPr>
        <b val="true"/>
        <sz val="9"/>
        <color rgb="FFA6A6A6"/>
        <rFont val="Calibri"/>
        <family val="2"/>
        <charset val="238"/>
      </rPr>
      <t xml:space="preserve">Poniżej oczekiwań</t>
    </r>
    <r>
      <rPr>
        <sz val="9"/>
        <color rgb="FFA6A6A6"/>
        <rFont val="Calibri"/>
        <family val="2"/>
        <charset val="238"/>
      </rPr>
      <t xml:space="preserve"> - część norm/założeń/oczekiwań nie została spełniona</t>
    </r>
  </si>
  <si>
    <t xml:space="preserve">&lt; ukryj sekcję</t>
  </si>
  <si>
    <t xml:space="preserve">Wskaźniki:</t>
  </si>
  <si>
    <t xml:space="preserve">samoocena</t>
  </si>
  <si>
    <t xml:space="preserve">ocena przełożonego </t>
  </si>
  <si>
    <t xml:space="preserve">1.</t>
  </si>
  <si>
    <t xml:space="preserve">Ilość zamkniętych projektów</t>
  </si>
  <si>
    <t xml:space="preserve">2.</t>
  </si>
  <si>
    <t xml:space="preserve">ilość przedłużonych umów</t>
  </si>
  <si>
    <t xml:space="preserve">3.</t>
  </si>
  <si>
    <t xml:space="preserve">ilość błędów w dokumentacji</t>
  </si>
  <si>
    <t xml:space="preserve">4.</t>
  </si>
  <si>
    <t xml:space="preserve">Realizacja budżetu kosztowego</t>
  </si>
  <si>
    <t xml:space="preserve">target</t>
  </si>
  <si>
    <t xml:space="preserve">realizacja</t>
  </si>
  <si>
    <t xml:space="preserve">przelicznik</t>
  </si>
  <si>
    <t xml:space="preserve">ocena</t>
  </si>
  <si>
    <r>
      <rPr>
        <sz val="8"/>
        <color rgb="FF7F7F7F"/>
        <rFont val="Calibri"/>
        <family val="2"/>
        <charset val="238"/>
      </rPr>
      <t xml:space="preserve">Ocena opisowa:
</t>
    </r>
    <r>
      <rPr>
        <i val="true"/>
        <sz val="11"/>
        <color rgb="FF7F7F7F"/>
        <rFont val="Calibri"/>
        <family val="2"/>
        <charset val="238"/>
      </rPr>
      <t xml:space="preserve">Tu wpisz ocenę opisową danego obszaru.
</t>
    </r>
    <r>
      <rPr>
        <sz val="11"/>
        <color rgb="FF000000"/>
        <rFont val="Calibri"/>
        <family val="2"/>
        <charset val="238"/>
      </rPr>
      <t xml:space="preserve">
</t>
    </r>
  </si>
  <si>
    <t xml:space="preserve">Cele / Zadania:</t>
  </si>
  <si>
    <t xml:space="preserve">ta sekcja zawiera najistotniejsze cele i zadania w okresie rozliczeniowym.</t>
  </si>
  <si>
    <t xml:space="preserve">znaleźć i opracować nowy sposób na ……………..</t>
  </si>
  <si>
    <t xml:space="preserve">a)</t>
  </si>
  <si>
    <t xml:space="preserve">znalezienie sposobu, jego przetestowanie i opisanie procedurą</t>
  </si>
  <si>
    <t xml:space="preserve">b)</t>
  </si>
  <si>
    <t xml:space="preserve">termin wdrożenia w życie 1 czerwca 2016</t>
  </si>
  <si>
    <t xml:space="preserve">c)</t>
  </si>
  <si>
    <t xml:space="preserve">lorem ipsum amesit dolor</t>
  </si>
  <si>
    <t xml:space="preserve">d)</t>
  </si>
  <si>
    <t xml:space="preserve">5.</t>
  </si>
  <si>
    <t xml:space="preserve">Jakość pracy</t>
  </si>
  <si>
    <t xml:space="preserve">Organizacja/planowanie</t>
  </si>
  <si>
    <t xml:space="preserve">Planuje zasoby w tym szczególnie czas potrzebny do wykonania działania</t>
  </si>
  <si>
    <t xml:space="preserve">Najważniejszym zadaniom poświęca największą uwagę</t>
  </si>
  <si>
    <t xml:space="preserve">Plany które tworzy są konkretne i realistyczne</t>
  </si>
  <si>
    <t xml:space="preserve">Wykonuje swoją pracę w sposób systematyczny i uporządkowany</t>
  </si>
  <si>
    <t xml:space="preserve">e)</t>
  </si>
  <si>
    <t xml:space="preserve">Planując zadanie uwzględnia czas na nieprzewidziane komplikacje</t>
  </si>
  <si>
    <t xml:space="preserve">f)</t>
  </si>
  <si>
    <t xml:space="preserve">Trzyma się przyjętych ram czasowych i/lub budżetowych</t>
  </si>
  <si>
    <t xml:space="preserve">g)</t>
  </si>
  <si>
    <t xml:space="preserve">W przypadku ryzyka związanego z czasem, kosztami itd. zgłasza status z wyprzedzeniem</t>
  </si>
  <si>
    <t xml:space="preserve">h)</t>
  </si>
  <si>
    <t xml:space="preserve">Realizuje zadania zgodnie z przyjętym planem</t>
  </si>
  <si>
    <t xml:space="preserve">Jakość/niezawodność</t>
  </si>
  <si>
    <t xml:space="preserve">Doprowadza zadania do samego końca</t>
  </si>
  <si>
    <t xml:space="preserve">Dostarcza zadania o kompletnych rezultatach również w szczegółach</t>
  </si>
  <si>
    <t xml:space="preserve">Raportuje wykonanie zadania</t>
  </si>
  <si>
    <t xml:space="preserve">Sprawdza efekty swojej pracy w celu wykrycia błędów i pomyłek</t>
  </si>
  <si>
    <t xml:space="preserve">Zna proces i potrafi sam go prowadzić, jest uważny</t>
  </si>
  <si>
    <t xml:space="preserve">Godzi jakość i szybkość</t>
  </si>
  <si>
    <t xml:space="preserve">Jest zawsze przygotowany do spotkań</t>
  </si>
  <si>
    <t xml:space="preserve">Racjonalnie wykorzystuje zasoby / oganicza koszty</t>
  </si>
  <si>
    <t xml:space="preserve">Inicjatywa/Kreatywność</t>
  </si>
  <si>
    <t xml:space="preserve">Poszukuje nowych rozwiązań w działających procesach</t>
  </si>
  <si>
    <t xml:space="preserve">Jest proaktywny – dostrzega konieczne zmiany ,wyprzedza problemy</t>
  </si>
  <si>
    <t xml:space="preserve">Zabiera głos podczas spotkań kreatywnych (tam gdzie tworzona jest nowa jakość)</t>
  </si>
  <si>
    <t xml:space="preserve">Chętnie uczestniczy w nowych projektach i zadaniach</t>
  </si>
  <si>
    <t xml:space="preserve">Wprowadza usprawnienia do swojej pracy</t>
  </si>
  <si>
    <t xml:space="preserve">Zgłasza rozwiązania zamiast problemów</t>
  </si>
  <si>
    <t xml:space="preserve">Wysuwa trafne wnioski na podstawie danych wejściowych/potrafi twórczo wykorzystać informacje podstawowe</t>
  </si>
  <si>
    <t xml:space="preserve">Przełamuje schematy, eksperymentuje ponosząc skalkulowane ryzyko</t>
  </si>
  <si>
    <t xml:space="preserve">Postawa względem zmian/sytuacji trudnych</t>
  </si>
  <si>
    <t xml:space="preserve">Podchodzi pozytywnie/otwarcie do planowanej zmiany</t>
  </si>
  <si>
    <t xml:space="preserve">Jest odważny i mówi otwarcie o problemie</t>
  </si>
  <si>
    <t xml:space="preserve">Podczas wprowadzania zmian udziela konstruktywnej krytyki jeśli jest to konieczne</t>
  </si>
  <si>
    <t xml:space="preserve">W sytuacji sporu przedstawia sprawdzone i rzeczowe argumenty</t>
  </si>
  <si>
    <t xml:space="preserve">Potrafi elastycznie modyfikować pracę w kontekście zmian</t>
  </si>
  <si>
    <t xml:space="preserve">W przypadku problemów podejmuje natychmiastowe działanie</t>
  </si>
  <si>
    <t xml:space="preserve">Na bieżąco rozwiązuje trudności, nie doprowadza do ich spiętrzenia</t>
  </si>
  <si>
    <t xml:space="preserve">W sposób rzeczywisty wdraża zmiany nawet jeśli są trudne</t>
  </si>
  <si>
    <t xml:space="preserve">Ogólna postawa</t>
  </si>
  <si>
    <t xml:space="preserve">Jest pozytywnie nastawiony ma wysoki poziom energii, która przekłada się na działanie</t>
  </si>
  <si>
    <t xml:space="preserve">Bierze odpowiedzialność za wykonywane przez siebie zadania</t>
  </si>
  <si>
    <t xml:space="preserve">Wytrwale realizuje nawet mozolne zadania, nie poddaje się</t>
  </si>
  <si>
    <t xml:space="preserve">Podchodzi ambitnie do pracy nie zadawala go średni efekt</t>
  </si>
  <si>
    <t xml:space="preserve">Broni swojego stanowiska gdy jest przekonany o swojej racji</t>
  </si>
  <si>
    <t xml:space="preserve">W swojej pracy zawsze patrzy na biznesowe i organizacyjne konsekwencje swoich działań</t>
  </si>
  <si>
    <t xml:space="preserve">Potrafi realnie ocenić siebie i swoją pracę, potdchodzi konstruktywnie do krytyki</t>
  </si>
  <si>
    <t xml:space="preserve">Poświęca dodatkowy czas jeśli jest to konieczne dla realizacji celów własnych lub działowych</t>
  </si>
  <si>
    <t xml:space="preserve">6.</t>
  </si>
  <si>
    <t xml:space="preserve">Współpraca w zespole</t>
  </si>
  <si>
    <t xml:space="preserve">Buduje relacje w zespole i po za nim</t>
  </si>
  <si>
    <t xml:space="preserve">Udziela innym rzetelnej informacji zwrotnej, unika sarkazmu</t>
  </si>
  <si>
    <t xml:space="preserve">W sytuacji konfliktowej zachowuje szacunek dla drugiej strony, nie chowa urazy</t>
  </si>
  <si>
    <t xml:space="preserve">Potrafi wyrazić się w sposób zdecydowany jednocześnie unikając agresji</t>
  </si>
  <si>
    <t xml:space="preserve">Dzieli się efektami  pracy z innymi członkami zespołu</t>
  </si>
  <si>
    <t xml:space="preserve">Jest elastyczny we współpracy, szuka rozwiązań dobrych dla obu stron</t>
  </si>
  <si>
    <t xml:space="preserve">Potrafi godzić indywidualne zadania i współpracę</t>
  </si>
  <si>
    <t xml:space="preserve">Chętnie pomaga innym nawet jeśli wiąże się to z dodatkowym wysiłkiem</t>
  </si>
  <si>
    <t xml:space="preserve">7.</t>
  </si>
  <si>
    <t xml:space="preserve">Rozwój/uczenie się</t>
  </si>
  <si>
    <t xml:space="preserve">Gdy popełni błąd, zmienia sposób działania tak by się nie powtórzył</t>
  </si>
  <si>
    <t xml:space="preserve">Chętnie przyjmuje większą odpowiedzialność i nowe zadania</t>
  </si>
  <si>
    <t xml:space="preserve">Interesuje się sprawami nie tylko bezpośrednio związanymi z procesem, ale wszystkimi mającymi  na niego wpływ</t>
  </si>
  <si>
    <t xml:space="preserve">Z własnej inicjatywy dzieli się użyteczną wiedzą z innymi</t>
  </si>
  <si>
    <t xml:space="preserve">Zabiega o informację zwrotną na temat własnej pracy</t>
  </si>
  <si>
    <t xml:space="preserve">Jego praca nieustannie poprawia się</t>
  </si>
  <si>
    <t xml:space="preserve">Z własnej inicjatywy zdobywa aktualne informacje związane ze swoją specjalnością</t>
  </si>
  <si>
    <t xml:space="preserve">Poświęca czas również prywatny na poszerzenie wiedzy i umiejętności zawodowych</t>
  </si>
  <si>
    <t xml:space="preserve">8.</t>
  </si>
  <si>
    <r>
      <rPr>
        <sz val="11"/>
        <color rgb="FF000000"/>
        <rFont val="Calibri"/>
        <family val="2"/>
        <charset val="238"/>
      </rPr>
      <t xml:space="preserve">Przywództwo - </t>
    </r>
    <r>
      <rPr>
        <i val="true"/>
        <sz val="11"/>
        <color rgb="FF000000"/>
        <rFont val="Calibri"/>
        <family val="2"/>
        <charset val="238"/>
      </rPr>
      <t xml:space="preserve">Tylko Liderzy</t>
    </r>
  </si>
  <si>
    <t xml:space="preserve">Posiada silny zespół gotowy do realizacji  zadań nawet w przypadku długotrwałej nieobecności szefa </t>
  </si>
  <si>
    <t xml:space="preserve">Wybiera dobrych pracowników i kształci ich do obejmowania ważniejszych obowiązków w tym kierowniczych</t>
  </si>
  <si>
    <t xml:space="preserve">Dba o niski poziom rotacji, a gdy pojawiają się ważne braki w zespole posiada zasoby do ich uzupełnienia </t>
  </si>
  <si>
    <t xml:space="preserve">Rozwija zespół w czym uwzględnia wartościowych pracowników nawet na najniższych stanowiskach</t>
  </si>
  <si>
    <t xml:space="preserve">Monitoruje wszystkie kluczowe procesy podległego zespołu</t>
  </si>
  <si>
    <t xml:space="preserve">Cieszy się zaufaniem i szacunkiem podległych pracowników. </t>
  </si>
  <si>
    <t xml:space="preserve">Posiada wizję  działania zespołu. Wie co chce osiągnać w perspektywie dłuższego czasu</t>
  </si>
  <si>
    <t xml:space="preserve">Planuje kluczowe działania w perspektywie min. półrocza </t>
  </si>
  <si>
    <t xml:space="preserve">i)</t>
  </si>
  <si>
    <t xml:space="preserve">Podejmuje trudne decyzje w tym personalne i przyjmuje ich konsekwencje</t>
  </si>
  <si>
    <t xml:space="preserve">j)</t>
  </si>
  <si>
    <t xml:space="preserve">Jest konsekwentny w utrzymywaniu decyzji i idącymi za nimi działań</t>
  </si>
  <si>
    <t xml:space="preserve">Wartość dodana / Zaangażowanie:*</t>
  </si>
  <si>
    <t xml:space="preserve">0 - nie występuje / 1 - umiarkowany wkład / 2 - duży wkład</t>
  </si>
  <si>
    <t xml:space="preserve">* ta sekcja pokazuje dodatkowy wkład (zadania, projekty ponad normatywne oraz osobisty wysiłek) pracownika w sytuację działu/firmy.</t>
  </si>
  <si>
    <t xml:space="preserve">Pozytywna weryfikacja tej sekcji umożliwia otrzymanie najwyższej oceny</t>
  </si>
  <si>
    <t xml:space="preserve">0 - nie wnosi dodatkowych pomysłów, usprawnień, projektów, pracuje pod normalnym obciążeniem</t>
  </si>
  <si>
    <t xml:space="preserve">1 - dokonuje istotnych usprawnień w swojej pracy/wprowadza zmiany do procesu działu wpływające na podeniesienie efektywności 
     lub efektywnie realizuje zadania w okresach wzmożonego obciążenia pracą</t>
  </si>
  <si>
    <t xml:space="preserve">2- jest zaangażowany w dodatkowe realne działania przynoszące wymierne korzyści dla działu lub firmy.
    lub jest bardzo zaangazowany mimo pernamentnie zwiększonego obciążenia pracą</t>
  </si>
  <si>
    <t xml:space="preserve">Podsumowanie:</t>
  </si>
  <si>
    <t xml:space="preserve">finalna ocena:</t>
  </si>
  <si>
    <t xml:space="preserve">poprawa</t>
  </si>
  <si>
    <t xml:space="preserve">ocena pracy</t>
  </si>
  <si>
    <t xml:space="preserve">wartość dodana</t>
  </si>
  <si>
    <t xml:space="preserve">ocena progresu</t>
  </si>
  <si>
    <t xml:space="preserve">wartość dodana / dodatkowa inicjatywa</t>
  </si>
  <si>
    <t xml:space="preserve">brak dodatkowej inicjatywy</t>
  </si>
  <si>
    <t xml:space="preserve">średnia dodatkowa inicjatywa</t>
  </si>
  <si>
    <t xml:space="preserve">duża dodatkowa inicjatywa</t>
  </si>
  <si>
    <t xml:space="preserve">wzorowo</t>
  </si>
  <si>
    <t xml:space="preserve">bardzo dobrze</t>
  </si>
  <si>
    <t xml:space="preserve">dobrze</t>
  </si>
  <si>
    <t xml:space="preserve">wymaga poprawy</t>
  </si>
  <si>
    <t xml:space="preserve">&gt; wybierz z listy &lt;</t>
  </si>
  <si>
    <t xml:space="preserve">pogorszenie</t>
  </si>
  <si>
    <t xml:space="preserve">bez zmian </t>
  </si>
  <si>
    <t xml:space="preserve">podpis pracownika</t>
  </si>
  <si>
    <t xml:space="preserve">podpis przełożonego</t>
  </si>
  <si>
    <t xml:space="preserve">zdecydowana poprawa</t>
  </si>
  <si>
    <t xml:space="preserve">zakres czasowy</t>
  </si>
  <si>
    <t xml:space="preserve">Wiesława Milczuk</t>
  </si>
  <si>
    <t xml:space="preserve">ss2018</t>
  </si>
  <si>
    <t xml:space="preserve">Młodszy technolog</t>
  </si>
  <si>
    <t xml:space="preserve">data oceny</t>
  </si>
  <si>
    <t xml:space="preserve">Katarzyna Zielińska</t>
  </si>
  <si>
    <t xml:space="preserve">Dział Przygotowania Produktu SiNSAY</t>
  </si>
  <si>
    <r>
      <rPr>
        <sz val="14"/>
        <color rgb="FF7F7F7F"/>
        <rFont val="Calibri"/>
        <family val="2"/>
        <charset val="238"/>
      </rPr>
      <t xml:space="preserve">Z jakich dokonań jesteś szczególnie zadowolony/a</t>
    </r>
    <r>
      <rPr>
        <sz val="11"/>
        <color rgb="FF7F7F7F"/>
        <rFont val="Calibri"/>
        <family val="2"/>
        <charset val="238"/>
      </rPr>
      <t xml:space="preserve"> 
</t>
    </r>
    <r>
      <rPr>
        <i val="true"/>
        <sz val="11"/>
        <color rgb="FF7F7F7F"/>
        <rFont val="Calibri"/>
        <family val="2"/>
        <charset val="238"/>
      </rPr>
      <t xml:space="preserve">(pracownik - autoanaliza / przełożony - informacja zwrotna)</t>
    </r>
  </si>
  <si>
    <t xml:space="preserve">Jestem osobę pracowitą ,i postawione mi zadania staram się wykonywać jak najlepiej potrafię. Jestem osobą otwartą na różne szkolenia związane z moją pracą.</t>
  </si>
  <si>
    <t xml:space="preserve"> Zadowolona jestem z umożliwienia mi poznawania nowych programów jakim jest CAD Gerber.</t>
  </si>
  <si>
    <t xml:space="preserve">Najbardziej jestem zadowolona z wyników sprzedażowych strojów kąpielowych, ponieważ to jest pierwsza rozmiarówka którą sama tworzyłam. </t>
  </si>
  <si>
    <t xml:space="preserve">Fajnie że powstała nowa grupa bieliźniana , która też się dobrze zapowiada.</t>
  </si>
  <si>
    <r>
      <rPr>
        <sz val="14"/>
        <color rgb="FF7F7F7F"/>
        <rFont val="Calibri"/>
        <family val="2"/>
        <charset val="238"/>
      </rPr>
      <t xml:space="preserve">W nadchodzącym okresie potrzebuję od Ciebie/chciałbym Cię prosić żebyś 
</t>
    </r>
    <r>
      <rPr>
        <i val="true"/>
        <sz val="11"/>
        <color rgb="FF7F7F7F"/>
        <rFont val="Calibri"/>
        <family val="2"/>
        <charset val="238"/>
      </rPr>
      <t xml:space="preserve">(pracownik i przełożony do siebie wzajemnie)</t>
    </r>
  </si>
  <si>
    <t xml:space="preserve">Najbardziej są mi potrzebne wszelkiego rodzaju szkolenia technologiczne z bielizny.</t>
  </si>
  <si>
    <t xml:space="preserve">Moje dodatkowe wnioski, uwagi, komentarze do minionego okresu i obecnej sytuacji 
(pracownik i przełożony z własnej prespektywy)</t>
  </si>
  <si>
    <t xml:space="preserve">Chciałabym żeby nie było w zespole piżamowo – bieliżnianym odersów,jest to bardzo pracochłonna grupa.</t>
  </si>
  <si>
    <t xml:space="preserve">Elementy do znaczącej poprawy </t>
  </si>
  <si>
    <t xml:space="preserve">Powoduje ona to że nie ma  ciągłości pracy w piżamkach, bieliźnie i strojach kąpielowych.</t>
  </si>
  <si>
    <t xml:space="preserve">Stanowisko</t>
  </si>
  <si>
    <t xml:space="preserve">kategoria</t>
  </si>
  <si>
    <t xml:space="preserve">KIEROWNIK DS. WSPARCIA SPRZEDAŻY</t>
  </si>
  <si>
    <t xml:space="preserve">BO</t>
  </si>
  <si>
    <t xml:space="preserve">MŁODSZY SPECJALISTA DS. WSPARCIA SPRZEDAŻY</t>
  </si>
  <si>
    <t xml:space="preserve">P.O. KIEROWNIKA DS. WSPARCIA SPRZEDAŻY</t>
  </si>
  <si>
    <t xml:space="preserve">SPECJALISTA DS. ANALIZ SPRZEDAŻY</t>
  </si>
  <si>
    <t xml:space="preserve">REGIONALNY DYREKTOR SPRZEDAŻY</t>
  </si>
  <si>
    <t xml:space="preserve">operacje </t>
  </si>
  <si>
    <t xml:space="preserve">REGIONALNY KIEROWNIK SPRZEDAŻY</t>
  </si>
  <si>
    <t xml:space="preserve">KIEROWNIK DS. ALOKACJI</t>
  </si>
  <si>
    <t xml:space="preserve">Sales Coor.</t>
  </si>
  <si>
    <t xml:space="preserve">MŁODSZY SPECJALISTA DS. ALOKACJI</t>
  </si>
  <si>
    <t xml:space="preserve">SALES COORDINATOR</t>
  </si>
  <si>
    <t xml:space="preserve">SPECJALISTA DS. ALOKACJI</t>
  </si>
  <si>
    <t xml:space="preserve">COMMERCIAL TRAINING MANAGER</t>
  </si>
  <si>
    <t xml:space="preserve">VM</t>
  </si>
  <si>
    <t xml:space="preserve">EKSPERT DS. KREACJI SPRZEDAŻY</t>
  </si>
  <si>
    <t xml:space="preserve">MENADŻER DS. KREACJI SPRZEDAŻY</t>
  </si>
  <si>
    <t xml:space="preserve">PROJEKTANT EKSPOZYCJI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</si>
</sst>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&quot; zł&quot;"/>
    <numFmt numFmtId="167" formatCode="0%"/>
  </numFmts>
  <fonts count="51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7F7F7F"/>
      <name val="Calibri"/>
      <family val="2"/>
      <charset val="238"/>
    </font>
    <font>
      <sz val="9"/>
      <color rgb="FF000000"/>
      <name val="Calibri"/>
      <family val="2"/>
      <charset val="238"/>
    </font>
    <font>
      <sz val="11"/>
      <color rgb="FFA6A6A6"/>
      <name val="Calibri"/>
      <family val="2"/>
      <charset val="238"/>
    </font>
    <font>
      <b val="true"/>
      <sz val="9"/>
      <color rgb="FF00FFCC"/>
      <name val="Calibri"/>
      <family val="2"/>
      <charset val="238"/>
    </font>
    <font>
      <b val="true"/>
      <sz val="9"/>
      <color rgb="FFA6A6A6"/>
      <name val="Calibri"/>
      <family val="2"/>
      <charset val="238"/>
    </font>
    <font>
      <sz val="9"/>
      <color rgb="FFA6A6A6"/>
      <name val="Calibri"/>
      <family val="2"/>
      <charset val="238"/>
    </font>
    <font>
      <sz val="8"/>
      <color rgb="FF808080"/>
      <name val="Calibri"/>
      <family val="2"/>
      <charset val="238"/>
    </font>
    <font>
      <b val="true"/>
      <sz val="14"/>
      <color rgb="FF7F7F7F"/>
      <name val="Calibri"/>
      <family val="2"/>
      <charset val="238"/>
    </font>
    <font>
      <b val="true"/>
      <sz val="18"/>
      <color rgb="FF7F7F7F"/>
      <name val="Calibri"/>
      <family val="2"/>
      <charset val="238"/>
    </font>
    <font>
      <sz val="18"/>
      <color rgb="FF7F7F7F"/>
      <name val="Calibri"/>
      <family val="2"/>
      <charset val="238"/>
    </font>
    <font>
      <sz val="18"/>
      <color rgb="FF000000"/>
      <name val="Calibri"/>
      <family val="2"/>
      <charset val="238"/>
    </font>
    <font>
      <b val="true"/>
      <sz val="12"/>
      <color rgb="FF00FFCC"/>
      <name val="Calibri"/>
      <family val="2"/>
      <charset val="238"/>
    </font>
    <font>
      <sz val="8"/>
      <color rgb="FF7F7F7F"/>
      <name val="Calibri"/>
      <family val="2"/>
      <charset val="238"/>
    </font>
    <font>
      <i val="true"/>
      <sz val="11"/>
      <color rgb="FF7F7F7F"/>
      <name val="Calibri"/>
      <family val="2"/>
      <charset val="238"/>
    </font>
    <font>
      <i val="true"/>
      <sz val="8"/>
      <color rgb="FF808080"/>
      <name val="Calibri"/>
      <family val="2"/>
      <charset val="238"/>
    </font>
    <font>
      <i val="true"/>
      <sz val="11"/>
      <color rgb="FF000000"/>
      <name val="Calibri"/>
      <family val="2"/>
      <charset val="238"/>
    </font>
    <font>
      <b val="true"/>
      <sz val="9"/>
      <color rgb="FF7F7F7F"/>
      <name val="Calibri"/>
      <family val="2"/>
      <charset val="238"/>
    </font>
    <font>
      <sz val="8"/>
      <color rgb="FF000000"/>
      <name val="Calibri"/>
      <family val="2"/>
      <charset val="238"/>
    </font>
    <font>
      <b val="true"/>
      <sz val="18"/>
      <color rgb="FF000000"/>
      <name val="Calibri"/>
      <family val="2"/>
      <charset val="238"/>
    </font>
    <font>
      <b val="true"/>
      <sz val="9"/>
      <color rgb="FF808080"/>
      <name val="Calibri"/>
      <family val="2"/>
      <charset val="238"/>
    </font>
    <font>
      <b val="true"/>
      <sz val="18"/>
      <color rgb="FF00FFCC"/>
      <name val="Calibri"/>
      <family val="2"/>
      <charset val="238"/>
    </font>
    <font>
      <i val="true"/>
      <sz val="9"/>
      <color rgb="FF808080"/>
      <name val="Calibri"/>
      <family val="2"/>
      <charset val="238"/>
    </font>
    <font>
      <b val="true"/>
      <sz val="8"/>
      <color rgb="FF000000"/>
      <name val="Calibri"/>
      <family val="2"/>
      <charset val="238"/>
    </font>
    <font>
      <b val="true"/>
      <i val="true"/>
      <sz val="8"/>
      <color rgb="FF808080"/>
      <name val="Calibri"/>
      <family val="2"/>
      <charset val="238"/>
    </font>
    <font>
      <b val="true"/>
      <sz val="48"/>
      <color rgb="FF000000"/>
      <name val="Calibri"/>
      <family val="2"/>
      <charset val="238"/>
    </font>
    <font>
      <b val="true"/>
      <sz val="24"/>
      <color rgb="FF7F7F7F"/>
      <name val="Calibri"/>
      <family val="2"/>
      <charset val="238"/>
    </font>
    <font>
      <b val="true"/>
      <sz val="10"/>
      <color rgb="FF7F7F7F"/>
      <name val="Calibri"/>
      <family val="2"/>
      <charset val="238"/>
    </font>
    <font>
      <sz val="16"/>
      <color rgb="FF000000"/>
      <name val="Calibri"/>
      <family val="2"/>
      <charset val="238"/>
    </font>
    <font>
      <sz val="12"/>
      <color rgb="FF7F7F7F"/>
      <name val="Calibri"/>
      <family val="2"/>
      <charset val="238"/>
    </font>
    <font>
      <b val="true"/>
      <sz val="16"/>
      <color rgb="FF7F7F7F"/>
      <name val="Calibri"/>
      <family val="2"/>
      <charset val="238"/>
    </font>
    <font>
      <i val="true"/>
      <sz val="8"/>
      <color rgb="FF404040"/>
      <name val="Calibri"/>
      <family val="2"/>
      <charset val="238"/>
    </font>
    <font>
      <i val="true"/>
      <sz val="11"/>
      <color rgb="FF404040"/>
      <name val="Calibri"/>
      <family val="2"/>
      <charset val="238"/>
    </font>
    <font>
      <i val="true"/>
      <sz val="12"/>
      <color rgb="FF404040"/>
      <name val="Calibri"/>
      <family val="2"/>
      <charset val="238"/>
    </font>
    <font>
      <sz val="36"/>
      <color rgb="FF00CC99"/>
      <name val="Calibri"/>
      <family val="2"/>
      <charset val="238"/>
    </font>
    <font>
      <sz val="36"/>
      <color rgb="FF00FFCC"/>
      <name val="Calibri"/>
      <family val="2"/>
      <charset val="238"/>
    </font>
    <font>
      <sz val="10"/>
      <color rgb="FF000000"/>
      <name val="Calibri"/>
      <family val="2"/>
      <charset val="238"/>
    </font>
    <font>
      <b val="true"/>
      <sz val="24"/>
      <color rgb="FF404040"/>
      <name val="Calibri"/>
      <family val="0"/>
    </font>
    <font>
      <sz val="11"/>
      <color rgb="FF7F7F7F"/>
      <name val="Calibri"/>
      <family val="2"/>
      <charset val="238"/>
    </font>
    <font>
      <i val="true"/>
      <sz val="10"/>
      <color rgb="FF000000"/>
      <name val="Calibri"/>
      <family val="2"/>
      <charset val="238"/>
    </font>
    <font>
      <i val="true"/>
      <sz val="11"/>
      <name val="Calibri"/>
      <family val="2"/>
      <charset val="238"/>
    </font>
    <font>
      <sz val="11"/>
      <name val="Calibri"/>
      <family val="2"/>
      <charset val="238"/>
    </font>
    <font>
      <i val="true"/>
      <sz val="9"/>
      <name val="Calibri"/>
      <family val="2"/>
      <charset val="238"/>
    </font>
    <font>
      <b val="true"/>
      <i val="true"/>
      <sz val="20"/>
      <color rgb="FF00CC99"/>
      <name val="Calibri"/>
      <family val="2"/>
      <charset val="238"/>
    </font>
    <font>
      <sz val="14"/>
      <color rgb="FF7F7F7F"/>
      <name val="Calibri"/>
      <family val="2"/>
      <charset val="238"/>
    </font>
    <font>
      <sz val="9"/>
      <color rgb="FF00CC99"/>
      <name val="Calibri"/>
      <family val="2"/>
      <charset val="238"/>
    </font>
    <font>
      <sz val="9"/>
      <color rgb="FF000000"/>
      <name val="Tahoma"/>
      <family val="2"/>
      <charset val="238"/>
    </font>
    <font>
      <b val="true"/>
      <sz val="24"/>
      <color rgb="FF595959"/>
      <name val="Calibri"/>
      <family val="0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EEEEEE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EEEEE"/>
      </patternFill>
    </fill>
    <fill>
      <patternFill patternType="solid">
        <fgColor rgb="FF66FFCC"/>
        <bgColor rgb="FF00FFCC"/>
      </patternFill>
    </fill>
    <fill>
      <patternFill patternType="solid">
        <fgColor rgb="FFEEEEEE"/>
        <bgColor rgb="FFF2F2F2"/>
      </patternFill>
    </fill>
    <fill>
      <patternFill patternType="solid">
        <fgColor rgb="FF00CC99"/>
        <bgColor rgb="FF00CCFF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/>
      <bottom/>
      <diagonal/>
    </border>
    <border diagonalUp="false" diagonalDown="false">
      <left/>
      <right style="thin">
        <color rgb="FFD9D9D9"/>
      </right>
      <top/>
      <bottom/>
      <diagonal/>
    </border>
    <border diagonalUp="false" diagonalDown="false">
      <left/>
      <right/>
      <top/>
      <bottom style="hair">
        <color rgb="FF7F7F7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D9D9D9"/>
      </right>
      <top/>
      <bottom/>
      <diagonal/>
    </border>
    <border diagonalUp="false" diagonalDown="false">
      <left/>
      <right/>
      <top style="thin">
        <color rgb="FFBFBFBF"/>
      </top>
      <bottom style="thin">
        <color rgb="FF00FFCC"/>
      </bottom>
      <diagonal/>
    </border>
    <border diagonalUp="false" diagonalDown="false">
      <left style="thin">
        <color rgb="FF00FFCC"/>
      </left>
      <right style="thin">
        <color rgb="FF00FFCC"/>
      </right>
      <top style="thin">
        <color rgb="FF00FFCC"/>
      </top>
      <bottom style="thin">
        <color rgb="FF00FFCC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dotted">
        <color rgb="FFD9D9D9"/>
      </top>
      <bottom style="dotted">
        <color rgb="FFD9D9D9"/>
      </bottom>
      <diagonal/>
    </border>
    <border diagonalUp="false" diagonalDown="false">
      <left style="thin">
        <color rgb="FF00FFCC"/>
      </left>
      <right/>
      <top style="thin">
        <color rgb="FF00FFCC"/>
      </top>
      <bottom style="thin">
        <color rgb="FF00FFCC"/>
      </bottom>
      <diagonal/>
    </border>
    <border diagonalUp="false" diagonalDown="false">
      <left/>
      <right/>
      <top style="thin">
        <color rgb="FF00FFCC"/>
      </top>
      <bottom style="thin">
        <color rgb="FF00FFCC"/>
      </bottom>
      <diagonal/>
    </border>
    <border diagonalUp="false" diagonalDown="false">
      <left/>
      <right style="thin">
        <color rgb="FF00FFCC"/>
      </right>
      <top style="thin">
        <color rgb="FF00FFCC"/>
      </top>
      <bottom style="thin">
        <color rgb="FF00FFCC"/>
      </bottom>
      <diagonal/>
    </border>
    <border diagonalUp="false" diagonalDown="false">
      <left/>
      <right/>
      <top style="thin">
        <color rgb="FF00FFCC"/>
      </top>
      <bottom/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  <border diagonalUp="false" diagonalDown="false">
      <left/>
      <right/>
      <top style="hair">
        <color rgb="FF7F7F7F"/>
      </top>
      <bottom style="hair">
        <color rgb="FF7F7F7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" xfId="1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3" xf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9" xf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2" xfId="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9" xfId="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3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9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1" builtinId="1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CC"/>
      <rgbColor rgb="FF800000"/>
      <rgbColor rgb="FF008000"/>
      <rgbColor rgb="FF000080"/>
      <rgbColor rgb="FF7F7F7F"/>
      <rgbColor rgb="FF800080"/>
      <rgbColor rgb="FF008080"/>
      <rgbColor rgb="FFBFBFBF"/>
      <rgbColor rgb="FF808080"/>
      <rgbColor rgb="FF9999FF"/>
      <rgbColor rgb="FF993366"/>
      <rgbColor rgb="FFF2F2F2"/>
      <rgbColor rgb="FFEE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FFCC"/>
      <rgbColor rgb="FFFF99CC"/>
      <rgbColor rgb="FFCC99FF"/>
      <rgbColor rgb="FFFFCC99"/>
      <rgbColor rgb="FF3366FF"/>
      <rgbColor rgb="FF00CC99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9360</xdr:colOff>
      <xdr:row>1</xdr:row>
      <xdr:rowOff>162000</xdr:rowOff>
    </xdr:from>
    <xdr:to>
      <xdr:col>11</xdr:col>
      <xdr:colOff>599400</xdr:colOff>
      <xdr:row>3</xdr:row>
      <xdr:rowOff>37800</xdr:rowOff>
    </xdr:to>
    <xdr:sp>
      <xdr:nvSpPr>
        <xdr:cNvPr id="0" name="CustomShape 1"/>
        <xdr:cNvSpPr/>
      </xdr:nvSpPr>
      <xdr:spPr>
        <a:xfrm>
          <a:off x="754560" y="237960"/>
          <a:ext cx="6337440" cy="544680"/>
        </a:xfrm>
        <a:prstGeom prst="roundRect">
          <a:avLst>
            <a:gd name="adj" fmla="val 16667"/>
          </a:avLst>
        </a:prstGeom>
        <a:solidFill>
          <a:srgbClr val="66ffcc"/>
        </a:solidFill>
        <a:ln>
          <a:solidFill>
            <a:srgbClr val="66ffcc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l-PL" sz="2400" spc="-1" strike="noStrike">
              <a:solidFill>
                <a:srgbClr val="404040"/>
              </a:solidFill>
              <a:uFill>
                <a:solidFill>
                  <a:srgbClr val="ffffff"/>
                </a:solidFill>
              </a:uFill>
              <a:latin typeface="Calibri"/>
            </a:rPr>
            <a:t>OCENA OKRESOWA DZIAŁÓW BACK OFFICE</a:t>
          </a:r>
          <a:endParaRPr b="0" lang="pl-PL" sz="24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10</xdr:col>
      <xdr:colOff>7560</xdr:colOff>
      <xdr:row>6</xdr:row>
      <xdr:rowOff>2160</xdr:rowOff>
    </xdr:from>
    <xdr:to>
      <xdr:col>12</xdr:col>
      <xdr:colOff>22320</xdr:colOff>
      <xdr:row>9</xdr:row>
      <xdr:rowOff>171000</xdr:rowOff>
    </xdr:to>
    <xdr:pic>
      <xdr:nvPicPr>
        <xdr:cNvPr id="1" name="Obraz 6" descr=""/>
        <xdr:cNvPicPr/>
      </xdr:nvPicPr>
      <xdr:blipFill>
        <a:blip r:embed="rId1"/>
        <a:srcRect l="15983" t="21299" r="12534" b="17888"/>
        <a:stretch/>
      </xdr:blipFill>
      <xdr:spPr>
        <a:xfrm>
          <a:off x="5762880" y="1295640"/>
          <a:ext cx="1426680" cy="7174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9360</xdr:colOff>
      <xdr:row>0</xdr:row>
      <xdr:rowOff>162000</xdr:rowOff>
    </xdr:from>
    <xdr:to>
      <xdr:col>13</xdr:col>
      <xdr:colOff>41760</xdr:colOff>
      <xdr:row>1</xdr:row>
      <xdr:rowOff>485280</xdr:rowOff>
    </xdr:to>
    <xdr:sp>
      <xdr:nvSpPr>
        <xdr:cNvPr id="2" name="CustomShape 1"/>
        <xdr:cNvSpPr/>
      </xdr:nvSpPr>
      <xdr:spPr>
        <a:xfrm>
          <a:off x="1233360" y="162000"/>
          <a:ext cx="7950240" cy="506160"/>
        </a:xfrm>
        <a:prstGeom prst="roundRect">
          <a:avLst>
            <a:gd name="adj" fmla="val 16667"/>
          </a:avLst>
        </a:prstGeom>
        <a:solidFill>
          <a:srgbClr val="00cc99"/>
        </a:solidFill>
        <a:ln>
          <a:solidFill>
            <a:srgbClr val="00cc99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1" lang="pl-PL" sz="2400" spc="-1" strike="noStrike">
              <a:solidFill>
                <a:srgbClr val="595959"/>
              </a:solidFill>
              <a:uFill>
                <a:solidFill>
                  <a:srgbClr val="ffffff"/>
                </a:solidFill>
              </a:uFill>
              <a:latin typeface="Calibri"/>
            </a:rPr>
            <a:t>KARTA INFORMACJI ZWROTNEJ - DZIAŁY PRODUKTOWE</a:t>
          </a:r>
          <a:endParaRPr b="0" lang="pl-PL" sz="24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44640</xdr:colOff>
      <xdr:row>3</xdr:row>
      <xdr:rowOff>25920</xdr:rowOff>
    </xdr:from>
    <xdr:to>
      <xdr:col>3</xdr:col>
      <xdr:colOff>980640</xdr:colOff>
      <xdr:row>6</xdr:row>
      <xdr:rowOff>95040</xdr:rowOff>
    </xdr:to>
    <xdr:pic>
      <xdr:nvPicPr>
        <xdr:cNvPr id="3" name="Obraz 2" descr=""/>
        <xdr:cNvPicPr/>
      </xdr:nvPicPr>
      <xdr:blipFill>
        <a:blip r:embed="rId1"/>
        <a:srcRect l="15989" t="21326" r="12533" b="17888"/>
        <a:stretch/>
      </xdr:blipFill>
      <xdr:spPr>
        <a:xfrm>
          <a:off x="1268640" y="877320"/>
          <a:ext cx="1186920" cy="6177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I217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C10" activeCellId="0" sqref="C10"/>
    </sheetView>
  </sheetViews>
  <sheetFormatPr defaultRowHeight="14.4" zeroHeight="false" outlineLevelRow="3" outlineLevelCol="0"/>
  <cols>
    <col collapsed="false" customWidth="true" hidden="false" outlineLevel="0" max="1" min="1" style="0" width="1.89"/>
    <col collapsed="false" customWidth="true" hidden="false" outlineLevel="0" max="2" min="2" style="0" width="8.67"/>
    <col collapsed="false" customWidth="true" hidden="false" outlineLevel="0" max="3" min="3" style="0" width="3.56"/>
    <col collapsed="false" customWidth="true" hidden="false" outlineLevel="0" max="4" min="4" style="0" width="11.66"/>
    <col collapsed="false" customWidth="true" hidden="false" outlineLevel="0" max="5" min="5" style="0" width="9.89"/>
    <col collapsed="false" customWidth="true" hidden="false" outlineLevel="0" max="6" min="6" style="0" width="8.67"/>
    <col collapsed="false" customWidth="true" hidden="false" outlineLevel="0" max="8" min="7" style="0" width="9.11"/>
    <col collapsed="false" customWidth="true" hidden="false" outlineLevel="0" max="9" min="9" style="0" width="8.67"/>
    <col collapsed="false" customWidth="true" hidden="false" outlineLevel="0" max="10" min="10" style="0" width="10.33"/>
    <col collapsed="false" customWidth="true" hidden="false" outlineLevel="0" max="11" min="11" style="0" width="10.45"/>
    <col collapsed="false" customWidth="true" hidden="false" outlineLevel="0" max="12" min="12" style="0" width="9.56"/>
    <col collapsed="false" customWidth="true" hidden="false" outlineLevel="0" max="13" min="13" style="0" width="9.11"/>
    <col collapsed="false" customWidth="true" hidden="false" outlineLevel="0" max="15" min="14" style="0" width="8.67"/>
    <col collapsed="false" customWidth="true" hidden="true" outlineLevel="0" max="18" min="16" style="0" width="9.11"/>
    <col collapsed="false" customWidth="true" hidden="false" outlineLevel="0" max="1025" min="19" style="0" width="8.67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4.4" hidden="false" customHeight="false" outlineLevel="0" collapsed="false">
      <c r="A2" s="1"/>
      <c r="B2" s="2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customFormat="false" ht="38.25" hidden="false" customHeight="true" outlineLevel="0" collapsed="false">
      <c r="A3" s="1"/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customFormat="false" ht="14.4" hidden="false" customHeight="false" outlineLevel="0" collapsed="false">
      <c r="A4" s="1"/>
      <c r="B4" s="2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customFormat="false" ht="14.4" hidden="false" customHeight="false" outlineLevel="0" collapsed="false">
      <c r="A5" s="1"/>
      <c r="B5" s="2"/>
      <c r="C5" s="5" t="s">
        <v>0</v>
      </c>
      <c r="F5" s="6"/>
      <c r="G5" s="6"/>
      <c r="H5" s="6"/>
      <c r="I5" s="6"/>
      <c r="K5" s="5" t="s">
        <v>1</v>
      </c>
      <c r="L5" s="7" t="n">
        <f aca="true">TODAY()</f>
        <v>43303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customFormat="false" ht="14.4" hidden="false" customHeight="false" outlineLevel="0" collapsed="false">
      <c r="A6" s="1"/>
      <c r="B6" s="2"/>
      <c r="C6" s="5" t="s">
        <v>2</v>
      </c>
      <c r="F6" s="6"/>
      <c r="G6" s="6"/>
      <c r="H6" s="6"/>
      <c r="I6" s="6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customFormat="false" ht="14.4" hidden="false" customHeight="false" outlineLevel="0" collapsed="false">
      <c r="A7" s="1"/>
      <c r="B7" s="2"/>
      <c r="C7" s="5" t="s">
        <v>3</v>
      </c>
      <c r="F7" s="6"/>
      <c r="G7" s="6"/>
      <c r="H7" s="6"/>
      <c r="I7" s="6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customFormat="false" ht="14.4" hidden="false" customHeight="false" outlineLevel="0" collapsed="false">
      <c r="A8" s="1"/>
      <c r="B8" s="2"/>
      <c r="C8" s="5" t="s">
        <v>4</v>
      </c>
      <c r="F8" s="6"/>
      <c r="G8" s="6"/>
      <c r="H8" s="6"/>
      <c r="I8" s="6"/>
      <c r="M8" s="3"/>
      <c r="N8" s="1"/>
      <c r="O8" s="1"/>
      <c r="P8" s="1" t="s">
        <v>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customFormat="false" ht="14.4" hidden="false" customHeight="false" outlineLevel="0" collapsed="false">
      <c r="A9" s="1"/>
      <c r="B9" s="2"/>
      <c r="C9" s="5"/>
      <c r="F9" s="8"/>
      <c r="G9" s="8"/>
      <c r="H9" s="8"/>
      <c r="I9" s="8"/>
      <c r="K9" s="5"/>
      <c r="L9" s="9"/>
      <c r="M9" s="3"/>
      <c r="N9" s="1"/>
      <c r="O9" s="1"/>
      <c r="P9" s="1" t="s">
        <v>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customFormat="false" ht="14.4" hidden="false" customHeight="false" outlineLevel="0" collapsed="false">
      <c r="A10" s="1"/>
      <c r="B10" s="10"/>
      <c r="C10" s="11" t="s">
        <v>7</v>
      </c>
      <c r="D10" s="5"/>
      <c r="E10" s="5"/>
      <c r="F10" s="5"/>
      <c r="G10" s="5"/>
      <c r="H10" s="5"/>
      <c r="I10" s="5"/>
      <c r="J10" s="5"/>
      <c r="K10" s="5"/>
      <c r="L10" s="5"/>
      <c r="M10" s="12"/>
      <c r="N10" s="1"/>
      <c r="O10" s="1"/>
      <c r="P10" s="1" t="s">
        <v>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customFormat="false" ht="14.4" hidden="false" customHeight="false" outlineLevel="0" collapsed="false">
      <c r="A11" s="1"/>
      <c r="B11" s="10"/>
      <c r="C11" s="11" t="s">
        <v>9</v>
      </c>
      <c r="D11" s="5"/>
      <c r="E11" s="5"/>
      <c r="F11" s="5"/>
      <c r="G11" s="5"/>
      <c r="H11" s="5"/>
      <c r="I11" s="5"/>
      <c r="J11" s="5"/>
      <c r="K11" s="5"/>
      <c r="L11" s="5"/>
      <c r="M11" s="12"/>
      <c r="N11" s="1"/>
      <c r="O11" s="1"/>
      <c r="P11" s="1" t="s">
        <v>10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customFormat="false" ht="14.4" hidden="false" customHeight="false" outlineLevel="0" collapsed="false">
      <c r="A12" s="1"/>
      <c r="B12" s="10"/>
      <c r="C12" s="11" t="s">
        <v>11</v>
      </c>
      <c r="D12" s="5"/>
      <c r="E12" s="5"/>
      <c r="F12" s="5"/>
      <c r="G12" s="5"/>
      <c r="H12" s="5"/>
      <c r="I12" s="5"/>
      <c r="J12" s="5"/>
      <c r="K12" s="5"/>
      <c r="L12" s="5"/>
      <c r="M12" s="1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customFormat="false" ht="14.4" hidden="false" customHeight="false" outlineLevel="0" collapsed="false">
      <c r="A13" s="1"/>
      <c r="B13" s="10"/>
      <c r="C13" s="11" t="s">
        <v>12</v>
      </c>
      <c r="D13" s="5"/>
      <c r="E13" s="5"/>
      <c r="F13" s="5"/>
      <c r="G13" s="5"/>
      <c r="H13" s="5"/>
      <c r="I13" s="5"/>
      <c r="J13" s="5"/>
      <c r="K13" s="5"/>
      <c r="L13" s="5"/>
      <c r="M13" s="1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customFormat="false" ht="14.4" hidden="false" customHeight="false" outlineLevel="0" collapsed="false">
      <c r="A14" s="1"/>
      <c r="B14" s="2"/>
      <c r="C14" s="13"/>
      <c r="F14" s="8"/>
      <c r="G14" s="8"/>
      <c r="H14" s="8"/>
      <c r="I14" s="8"/>
      <c r="K14" s="14"/>
      <c r="L14" s="14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customFormat="false" ht="23.4" hidden="false" customHeight="false" outlineLevel="1" collapsed="false">
      <c r="A15" s="1"/>
      <c r="B15" s="15" t="s">
        <v>13</v>
      </c>
      <c r="D15" s="16" t="s">
        <v>14</v>
      </c>
      <c r="J15" s="17" t="s">
        <v>15</v>
      </c>
      <c r="K15" s="18" t="s">
        <v>6</v>
      </c>
      <c r="L15" s="18"/>
      <c r="M15" s="1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customFormat="false" ht="3.75" hidden="false" customHeight="true" outlineLevel="1" collapsed="false">
      <c r="A16" s="1"/>
      <c r="B16" s="15"/>
      <c r="D16" s="16"/>
      <c r="J16" s="17"/>
      <c r="K16" s="20"/>
      <c r="L16" s="20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customFormat="false" ht="21.75" hidden="false" customHeight="true" outlineLevel="1" collapsed="false">
      <c r="A17" s="1"/>
      <c r="B17" s="15"/>
      <c r="D17" s="16"/>
      <c r="I17" s="21"/>
      <c r="J17" s="17" t="s">
        <v>16</v>
      </c>
      <c r="K17" s="22" t="s">
        <v>6</v>
      </c>
      <c r="L17" s="22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customFormat="false" ht="15" hidden="false" customHeight="true" outlineLevel="1" collapsed="false">
      <c r="A18" s="1"/>
      <c r="B18" s="15"/>
      <c r="D18" s="16"/>
      <c r="K18" s="23"/>
      <c r="L18" s="2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customFormat="false" ht="17.25" hidden="false" customHeight="true" outlineLevel="1" collapsed="false">
      <c r="A19" s="1"/>
      <c r="B19" s="2"/>
      <c r="C19" s="24" t="s">
        <v>17</v>
      </c>
      <c r="D19" s="25" t="s">
        <v>18</v>
      </c>
      <c r="E19" s="25"/>
      <c r="F19" s="25"/>
      <c r="G19" s="25"/>
      <c r="H19" s="25"/>
      <c r="I19" s="26"/>
      <c r="J19" s="26"/>
      <c r="K19" s="26"/>
      <c r="L19" s="26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customFormat="false" ht="15.75" hidden="false" customHeight="true" outlineLevel="1" collapsed="false">
      <c r="A20" s="1"/>
      <c r="B20" s="2"/>
      <c r="C20" s="24" t="s">
        <v>19</v>
      </c>
      <c r="D20" s="25" t="s">
        <v>20</v>
      </c>
      <c r="E20" s="25"/>
      <c r="F20" s="25"/>
      <c r="G20" s="25"/>
      <c r="H20" s="25"/>
      <c r="I20" s="26"/>
      <c r="J20" s="26"/>
      <c r="K20" s="26"/>
      <c r="L20" s="26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customFormat="false" ht="15.75" hidden="false" customHeight="true" outlineLevel="1" collapsed="false">
      <c r="A21" s="1"/>
      <c r="B21" s="2"/>
      <c r="C21" s="24" t="s">
        <v>21</v>
      </c>
      <c r="D21" s="25" t="s">
        <v>22</v>
      </c>
      <c r="E21" s="25"/>
      <c r="F21" s="25"/>
      <c r="G21" s="25"/>
      <c r="H21" s="25"/>
      <c r="I21" s="26"/>
      <c r="J21" s="26"/>
      <c r="K21" s="26"/>
      <c r="L21" s="26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customFormat="false" ht="15.75" hidden="false" customHeight="true" outlineLevel="1" collapsed="false">
      <c r="A22" s="1"/>
      <c r="B22" s="2"/>
      <c r="C22" s="24" t="s">
        <v>23</v>
      </c>
      <c r="D22" s="25" t="s">
        <v>24</v>
      </c>
      <c r="E22" s="25"/>
      <c r="F22" s="25"/>
      <c r="G22" s="25"/>
      <c r="H22" s="25"/>
      <c r="I22" s="26"/>
      <c r="J22" s="26"/>
      <c r="K22" s="26"/>
      <c r="L22" s="26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customFormat="false" ht="15.75" hidden="false" customHeight="true" outlineLevel="1" collapsed="false">
      <c r="A23" s="1"/>
      <c r="B23" s="2"/>
      <c r="I23" s="27" t="s">
        <v>25</v>
      </c>
      <c r="J23" s="27" t="s">
        <v>26</v>
      </c>
      <c r="K23" s="27" t="s">
        <v>27</v>
      </c>
      <c r="L23" s="27" t="s">
        <v>28</v>
      </c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customFormat="false" ht="39.75" hidden="false" customHeight="true" outlineLevel="1" collapsed="false">
      <c r="A24" s="1"/>
      <c r="B24" s="2"/>
      <c r="C24" s="28" t="s">
        <v>29</v>
      </c>
      <c r="D24" s="28"/>
      <c r="E24" s="28"/>
      <c r="F24" s="28"/>
      <c r="G24" s="28"/>
      <c r="H24" s="28"/>
      <c r="I24" s="28"/>
      <c r="J24" s="28"/>
      <c r="K24" s="28"/>
      <c r="L24" s="28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customFormat="false" ht="15" hidden="false" customHeight="true" outlineLevel="1" collapsed="false">
      <c r="A25" s="1"/>
      <c r="B25" s="2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customFormat="false" ht="14.4" hidden="false" customHeight="false" outlineLevel="0" collapsed="false">
      <c r="A26" s="1"/>
      <c r="B26" s="2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customFormat="false" ht="23.4" hidden="false" customHeight="false" outlineLevel="1" collapsed="false">
      <c r="A27" s="1"/>
      <c r="B27" s="29" t="s">
        <v>13</v>
      </c>
      <c r="D27" s="16" t="s">
        <v>30</v>
      </c>
      <c r="J27" s="17" t="s">
        <v>15</v>
      </c>
      <c r="K27" s="18" t="s">
        <v>5</v>
      </c>
      <c r="L27" s="18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customFormat="false" ht="3.75" hidden="false" customHeight="true" outlineLevel="1" collapsed="false">
      <c r="A28" s="1"/>
      <c r="B28" s="29"/>
      <c r="D28" s="16"/>
      <c r="J28" s="17"/>
      <c r="K28" s="20"/>
      <c r="L28" s="20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customFormat="false" ht="23.4" hidden="false" customHeight="false" outlineLevel="1" collapsed="false">
      <c r="A29" s="1"/>
      <c r="B29" s="2"/>
      <c r="D29" s="30" t="s">
        <v>31</v>
      </c>
      <c r="J29" s="17" t="s">
        <v>16</v>
      </c>
      <c r="K29" s="22" t="s">
        <v>6</v>
      </c>
      <c r="L29" s="22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customFormat="false" ht="7.5" hidden="false" customHeight="true" outlineLevel="1" collapsed="false">
      <c r="A30" s="1"/>
      <c r="B30" s="2"/>
      <c r="D30" s="30"/>
      <c r="J30" s="17"/>
      <c r="K30" s="31"/>
      <c r="L30" s="31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="37" customFormat="true" ht="15.6" hidden="false" customHeight="false" outlineLevel="1" collapsed="false">
      <c r="A31" s="32"/>
      <c r="B31" s="33" t="str">
        <f aca="false">IF(D32&lt;&gt;"","↓",IF(D33&lt;&gt;"","↓",IF(D34&lt;&gt;"","↓",IF(D35&lt;&gt;"","↓",""))))</f>
        <v>↓</v>
      </c>
      <c r="C31" s="24" t="s">
        <v>17</v>
      </c>
      <c r="D31" s="34" t="s">
        <v>32</v>
      </c>
      <c r="E31" s="34"/>
      <c r="F31" s="34"/>
      <c r="G31" s="34"/>
      <c r="H31" s="34"/>
      <c r="I31" s="34"/>
      <c r="J31" s="34"/>
      <c r="K31" s="35" t="s">
        <v>6</v>
      </c>
      <c r="L31" s="35" t="s">
        <v>6</v>
      </c>
      <c r="M31" s="36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</row>
    <row r="32" customFormat="false" ht="15" hidden="true" customHeight="true" outlineLevel="2" collapsed="false">
      <c r="A32" s="1"/>
      <c r="B32" s="38"/>
      <c r="C32" s="39" t="s">
        <v>33</v>
      </c>
      <c r="D32" s="40" t="s">
        <v>34</v>
      </c>
      <c r="E32" s="40"/>
      <c r="F32" s="40"/>
      <c r="G32" s="40"/>
      <c r="H32" s="40"/>
      <c r="I32" s="40"/>
      <c r="J32" s="41"/>
      <c r="K32" s="42" t="s">
        <v>5</v>
      </c>
      <c r="L32" s="42" t="s">
        <v>6</v>
      </c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customFormat="false" ht="15" hidden="true" customHeight="true" outlineLevel="2" collapsed="false">
      <c r="A33" s="1"/>
      <c r="B33" s="38"/>
      <c r="C33" s="39" t="s">
        <v>35</v>
      </c>
      <c r="D33" s="40" t="s">
        <v>36</v>
      </c>
      <c r="E33" s="40"/>
      <c r="F33" s="40"/>
      <c r="G33" s="40"/>
      <c r="H33" s="40"/>
      <c r="I33" s="40"/>
      <c r="J33" s="41"/>
      <c r="K33" s="43" t="s">
        <v>6</v>
      </c>
      <c r="L33" s="43" t="s">
        <v>6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customFormat="false" ht="15" hidden="true" customHeight="true" outlineLevel="2" collapsed="false">
      <c r="A34" s="1"/>
      <c r="B34" s="38"/>
      <c r="C34" s="39" t="s">
        <v>37</v>
      </c>
      <c r="D34" s="44" t="s">
        <v>38</v>
      </c>
      <c r="E34" s="44"/>
      <c r="F34" s="44"/>
      <c r="G34" s="44"/>
      <c r="H34" s="44"/>
      <c r="I34" s="44"/>
      <c r="J34" s="45"/>
      <c r="K34" s="43" t="s">
        <v>6</v>
      </c>
      <c r="L34" s="43" t="s">
        <v>8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customFormat="false" ht="15" hidden="true" customHeight="true" outlineLevel="2" collapsed="false">
      <c r="A35" s="1"/>
      <c r="B35" s="38"/>
      <c r="C35" s="39" t="s">
        <v>39</v>
      </c>
      <c r="D35" s="44" t="s">
        <v>38</v>
      </c>
      <c r="E35" s="44"/>
      <c r="F35" s="44"/>
      <c r="G35" s="44"/>
      <c r="H35" s="44"/>
      <c r="I35" s="44"/>
      <c r="J35" s="45"/>
      <c r="K35" s="43" t="s">
        <v>8</v>
      </c>
      <c r="L35" s="43" t="s">
        <v>8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customFormat="false" ht="6.75" hidden="true" customHeight="true" outlineLevel="2" collapsed="false">
      <c r="A36" s="1"/>
      <c r="B36" s="38"/>
      <c r="C36" s="39"/>
      <c r="D36" s="46"/>
      <c r="E36" s="46"/>
      <c r="F36" s="46"/>
      <c r="G36" s="46"/>
      <c r="H36" s="46"/>
      <c r="I36" s="46"/>
      <c r="J36" s="46"/>
      <c r="K36" s="47"/>
      <c r="L36" s="47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="37" customFormat="true" ht="15.75" hidden="false" customHeight="true" outlineLevel="1" collapsed="true">
      <c r="A37" s="32"/>
      <c r="B37" s="33" t="str">
        <f aca="false">IF(D38&lt;&gt;"","↓",IF(D39&lt;&gt;"","↓",IF(D40&lt;&gt;"","↓",IF(D41&lt;&gt;"","↓",""))))</f>
        <v/>
      </c>
      <c r="C37" s="24" t="s">
        <v>19</v>
      </c>
      <c r="D37" s="34"/>
      <c r="E37" s="34"/>
      <c r="F37" s="34"/>
      <c r="G37" s="34"/>
      <c r="H37" s="34"/>
      <c r="I37" s="34"/>
      <c r="J37" s="34"/>
      <c r="K37" s="35"/>
      <c r="L37" s="35"/>
      <c r="M37" s="36"/>
      <c r="N37" s="32"/>
      <c r="O37" s="32"/>
      <c r="P37" s="32"/>
      <c r="Q37" s="32"/>
      <c r="R37" s="48"/>
      <c r="S37" s="48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</row>
    <row r="38" customFormat="false" ht="15" hidden="true" customHeight="true" outlineLevel="2" collapsed="false">
      <c r="A38" s="1"/>
      <c r="B38" s="2"/>
      <c r="C38" s="39" t="s">
        <v>33</v>
      </c>
      <c r="D38" s="40"/>
      <c r="E38" s="40"/>
      <c r="F38" s="40"/>
      <c r="G38" s="40"/>
      <c r="H38" s="40"/>
      <c r="I38" s="40"/>
      <c r="J38" s="41"/>
      <c r="K38" s="43"/>
      <c r="L38" s="43"/>
      <c r="M38" s="3"/>
      <c r="N38" s="1"/>
      <c r="O38" s="1"/>
      <c r="P38" s="1"/>
      <c r="Q38" s="1"/>
      <c r="R38" s="49"/>
      <c r="S38" s="49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customFormat="false" ht="15" hidden="true" customHeight="true" outlineLevel="2" collapsed="false">
      <c r="A39" s="1"/>
      <c r="B39" s="2"/>
      <c r="C39" s="39" t="s">
        <v>35</v>
      </c>
      <c r="D39" s="40"/>
      <c r="E39" s="40"/>
      <c r="F39" s="40"/>
      <c r="G39" s="40"/>
      <c r="H39" s="40"/>
      <c r="I39" s="40"/>
      <c r="J39" s="41"/>
      <c r="K39" s="43"/>
      <c r="L39" s="43"/>
      <c r="M39" s="3"/>
      <c r="N39" s="1"/>
      <c r="O39" s="1"/>
      <c r="P39" s="1"/>
      <c r="Q39" s="1"/>
      <c r="R39" s="49"/>
      <c r="S39" s="49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customFormat="false" ht="15" hidden="true" customHeight="true" outlineLevel="2" collapsed="false">
      <c r="A40" s="1"/>
      <c r="B40" s="2"/>
      <c r="C40" s="39" t="s">
        <v>37</v>
      </c>
      <c r="D40" s="44"/>
      <c r="E40" s="44"/>
      <c r="F40" s="44"/>
      <c r="G40" s="44"/>
      <c r="H40" s="44"/>
      <c r="I40" s="44"/>
      <c r="J40" s="45"/>
      <c r="K40" s="43"/>
      <c r="L40" s="43"/>
      <c r="M40" s="3"/>
      <c r="N40" s="1"/>
      <c r="O40" s="1"/>
      <c r="P40" s="1"/>
      <c r="Q40" s="1"/>
      <c r="R40" s="49"/>
      <c r="S40" s="49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customFormat="false" ht="15" hidden="true" customHeight="true" outlineLevel="2" collapsed="false">
      <c r="A41" s="1"/>
      <c r="B41" s="2"/>
      <c r="C41" s="39" t="s">
        <v>39</v>
      </c>
      <c r="D41" s="44"/>
      <c r="E41" s="44"/>
      <c r="F41" s="44"/>
      <c r="G41" s="44"/>
      <c r="H41" s="44"/>
      <c r="I41" s="44"/>
      <c r="J41" s="45"/>
      <c r="K41" s="43"/>
      <c r="L41" s="4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customFormat="false" ht="6.75" hidden="true" customHeight="true" outlineLevel="2" collapsed="false">
      <c r="A42" s="1"/>
      <c r="B42" s="2"/>
      <c r="C42" s="39"/>
      <c r="D42" s="50"/>
      <c r="E42" s="50"/>
      <c r="F42" s="50"/>
      <c r="G42" s="50"/>
      <c r="H42" s="50"/>
      <c r="I42" s="50"/>
      <c r="J42" s="50"/>
      <c r="K42" s="47"/>
      <c r="L42" s="47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="37" customFormat="true" ht="15.6" hidden="false" customHeight="false" outlineLevel="1" collapsed="true">
      <c r="A43" s="32"/>
      <c r="B43" s="33" t="str">
        <f aca="false">IF(D44&lt;&gt;"","↓",IF(D45&lt;&gt;"","↓",IF(D46&lt;&gt;"","↓",IF(D47&lt;&gt;"","↓",""))))</f>
        <v/>
      </c>
      <c r="C43" s="24" t="s">
        <v>21</v>
      </c>
      <c r="D43" s="34"/>
      <c r="E43" s="34"/>
      <c r="F43" s="34"/>
      <c r="G43" s="34"/>
      <c r="H43" s="34"/>
      <c r="I43" s="34"/>
      <c r="J43" s="34"/>
      <c r="K43" s="35"/>
      <c r="L43" s="35"/>
      <c r="M43" s="36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</row>
    <row r="44" customFormat="false" ht="15" hidden="true" customHeight="true" outlineLevel="2" collapsed="false">
      <c r="A44" s="1"/>
      <c r="B44" s="2"/>
      <c r="C44" s="39" t="s">
        <v>33</v>
      </c>
      <c r="D44" s="40"/>
      <c r="E44" s="40"/>
      <c r="F44" s="40"/>
      <c r="G44" s="40"/>
      <c r="H44" s="40"/>
      <c r="I44" s="40"/>
      <c r="J44" s="41"/>
      <c r="K44" s="43"/>
      <c r="L44" s="4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customFormat="false" ht="15" hidden="true" customHeight="true" outlineLevel="2" collapsed="false">
      <c r="A45" s="1"/>
      <c r="B45" s="2"/>
      <c r="C45" s="39" t="s">
        <v>35</v>
      </c>
      <c r="D45" s="40"/>
      <c r="E45" s="40"/>
      <c r="F45" s="40"/>
      <c r="G45" s="40"/>
      <c r="H45" s="40"/>
      <c r="I45" s="40"/>
      <c r="J45" s="41"/>
      <c r="K45" s="43"/>
      <c r="L45" s="4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customFormat="false" ht="15" hidden="true" customHeight="true" outlineLevel="2" collapsed="false">
      <c r="A46" s="1"/>
      <c r="B46" s="2"/>
      <c r="C46" s="39" t="s">
        <v>37</v>
      </c>
      <c r="D46" s="44"/>
      <c r="E46" s="44"/>
      <c r="F46" s="44"/>
      <c r="G46" s="44"/>
      <c r="H46" s="44"/>
      <c r="I46" s="44"/>
      <c r="J46" s="45"/>
      <c r="K46" s="43"/>
      <c r="L46" s="4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customFormat="false" ht="15" hidden="true" customHeight="true" outlineLevel="2" collapsed="false">
      <c r="A47" s="1"/>
      <c r="B47" s="2"/>
      <c r="C47" s="39" t="s">
        <v>39</v>
      </c>
      <c r="D47" s="44"/>
      <c r="E47" s="44"/>
      <c r="F47" s="44"/>
      <c r="G47" s="44"/>
      <c r="H47" s="44"/>
      <c r="I47" s="44"/>
      <c r="J47" s="45"/>
      <c r="K47" s="43"/>
      <c r="L47" s="4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customFormat="false" ht="4.5" hidden="true" customHeight="true" outlineLevel="2" collapsed="false">
      <c r="A48" s="1"/>
      <c r="B48" s="2"/>
      <c r="C48" s="39"/>
      <c r="D48" s="50"/>
      <c r="E48" s="50"/>
      <c r="F48" s="50"/>
      <c r="G48" s="50"/>
      <c r="H48" s="50"/>
      <c r="I48" s="50"/>
      <c r="J48" s="50"/>
      <c r="K48" s="50"/>
      <c r="L48" s="50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="37" customFormat="true" ht="15.6" hidden="false" customHeight="false" outlineLevel="1" collapsed="true">
      <c r="A49" s="32"/>
      <c r="B49" s="33" t="str">
        <f aca="false">IF(D50&lt;&gt;"","↓",IF(D51&lt;&gt;"","↓",IF(D52&lt;&gt;"","↓",IF(D53&lt;&gt;"","↓",""))))</f>
        <v/>
      </c>
      <c r="C49" s="24" t="s">
        <v>23</v>
      </c>
      <c r="D49" s="34"/>
      <c r="E49" s="34"/>
      <c r="F49" s="34"/>
      <c r="G49" s="34"/>
      <c r="H49" s="34"/>
      <c r="I49" s="34"/>
      <c r="J49" s="34"/>
      <c r="K49" s="35"/>
      <c r="L49" s="35"/>
      <c r="M49" s="36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</row>
    <row r="50" customFormat="false" ht="15" hidden="true" customHeight="true" outlineLevel="2" collapsed="false">
      <c r="A50" s="1"/>
      <c r="B50" s="2"/>
      <c r="C50" s="39" t="s">
        <v>33</v>
      </c>
      <c r="D50" s="40"/>
      <c r="E50" s="40"/>
      <c r="F50" s="40"/>
      <c r="G50" s="40"/>
      <c r="H50" s="40"/>
      <c r="I50" s="40"/>
      <c r="J50" s="41"/>
      <c r="K50" s="43"/>
      <c r="L50" s="4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customFormat="false" ht="15" hidden="true" customHeight="true" outlineLevel="2" collapsed="false">
      <c r="A51" s="1"/>
      <c r="B51" s="2"/>
      <c r="C51" s="39" t="s">
        <v>35</v>
      </c>
      <c r="D51" s="40"/>
      <c r="E51" s="40"/>
      <c r="F51" s="40"/>
      <c r="G51" s="40"/>
      <c r="H51" s="40"/>
      <c r="I51" s="40"/>
      <c r="J51" s="41"/>
      <c r="K51" s="43"/>
      <c r="L51" s="4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customFormat="false" ht="15" hidden="true" customHeight="true" outlineLevel="2" collapsed="false">
      <c r="A52" s="1"/>
      <c r="B52" s="2"/>
      <c r="C52" s="39" t="s">
        <v>37</v>
      </c>
      <c r="D52" s="44"/>
      <c r="E52" s="44"/>
      <c r="F52" s="44"/>
      <c r="G52" s="44"/>
      <c r="H52" s="44"/>
      <c r="I52" s="44"/>
      <c r="J52" s="45"/>
      <c r="K52" s="43"/>
      <c r="L52" s="4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customFormat="false" ht="15" hidden="true" customHeight="true" outlineLevel="2" collapsed="false">
      <c r="A53" s="1"/>
      <c r="B53" s="2"/>
      <c r="C53" s="39" t="s">
        <v>39</v>
      </c>
      <c r="D53" s="44"/>
      <c r="E53" s="44"/>
      <c r="F53" s="44"/>
      <c r="G53" s="44"/>
      <c r="H53" s="44"/>
      <c r="I53" s="44"/>
      <c r="J53" s="45"/>
      <c r="K53" s="43"/>
      <c r="L53" s="4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customFormat="false" ht="6" hidden="true" customHeight="true" outlineLevel="2" collapsed="false">
      <c r="A54" s="1"/>
      <c r="B54" s="2"/>
      <c r="C54" s="39"/>
      <c r="D54" s="50"/>
      <c r="E54" s="50"/>
      <c r="F54" s="50"/>
      <c r="G54" s="50"/>
      <c r="H54" s="50"/>
      <c r="I54" s="50"/>
      <c r="J54" s="50"/>
      <c r="K54" s="50"/>
      <c r="L54" s="50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="37" customFormat="true" ht="15.6" hidden="false" customHeight="false" outlineLevel="1" collapsed="true">
      <c r="A55" s="32"/>
      <c r="B55" s="33" t="str">
        <f aca="false">IF(D56&lt;&gt;"","↓",IF(D57&lt;&gt;"","↓",IF(D58&lt;&gt;"","↓",IF(D59&lt;&gt;"","↓",""))))</f>
        <v/>
      </c>
      <c r="C55" s="24" t="s">
        <v>40</v>
      </c>
      <c r="D55" s="34"/>
      <c r="E55" s="34"/>
      <c r="F55" s="34"/>
      <c r="G55" s="34"/>
      <c r="H55" s="34"/>
      <c r="I55" s="34"/>
      <c r="J55" s="34"/>
      <c r="K55" s="35"/>
      <c r="L55" s="35"/>
      <c r="M55" s="36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</row>
    <row r="56" customFormat="false" ht="15" hidden="true" customHeight="true" outlineLevel="2" collapsed="false">
      <c r="A56" s="1"/>
      <c r="B56" s="2"/>
      <c r="C56" s="39" t="s">
        <v>33</v>
      </c>
      <c r="D56" s="40"/>
      <c r="E56" s="40"/>
      <c r="F56" s="40"/>
      <c r="G56" s="40"/>
      <c r="H56" s="40"/>
      <c r="I56" s="40"/>
      <c r="J56" s="41"/>
      <c r="K56" s="43"/>
      <c r="L56" s="4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customFormat="false" ht="15" hidden="true" customHeight="true" outlineLevel="2" collapsed="false">
      <c r="A57" s="1"/>
      <c r="B57" s="2"/>
      <c r="C57" s="39" t="s">
        <v>35</v>
      </c>
      <c r="D57" s="40"/>
      <c r="E57" s="40"/>
      <c r="F57" s="40"/>
      <c r="G57" s="40"/>
      <c r="H57" s="40"/>
      <c r="I57" s="40"/>
      <c r="J57" s="41"/>
      <c r="K57" s="43"/>
      <c r="L57" s="4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customFormat="false" ht="15" hidden="true" customHeight="true" outlineLevel="2" collapsed="false">
      <c r="A58" s="1"/>
      <c r="B58" s="2"/>
      <c r="C58" s="39" t="s">
        <v>37</v>
      </c>
      <c r="D58" s="44"/>
      <c r="E58" s="44"/>
      <c r="F58" s="44"/>
      <c r="G58" s="44"/>
      <c r="H58" s="44"/>
      <c r="I58" s="44"/>
      <c r="J58" s="45"/>
      <c r="K58" s="43"/>
      <c r="L58" s="4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customFormat="false" ht="15" hidden="true" customHeight="true" outlineLevel="2" collapsed="false">
      <c r="A59" s="1"/>
      <c r="B59" s="2"/>
      <c r="C59" s="39" t="s">
        <v>39</v>
      </c>
      <c r="D59" s="44"/>
      <c r="E59" s="44"/>
      <c r="F59" s="44"/>
      <c r="G59" s="44"/>
      <c r="H59" s="44"/>
      <c r="I59" s="44"/>
      <c r="J59" s="45"/>
      <c r="K59" s="43"/>
      <c r="L59" s="4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customFormat="false" ht="10.5" hidden="true" customHeight="true" outlineLevel="2" collapsed="false">
      <c r="A60" s="1"/>
      <c r="B60" s="2"/>
      <c r="C60" s="39"/>
      <c r="D60" s="51"/>
      <c r="E60" s="51"/>
      <c r="F60" s="51"/>
      <c r="G60" s="51"/>
      <c r="H60" s="51"/>
      <c r="I60" s="51"/>
      <c r="J60" s="51"/>
      <c r="K60" s="51"/>
      <c r="L60" s="51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customFormat="false" ht="39.75" hidden="false" customHeight="true" outlineLevel="1" collapsed="true">
      <c r="A61" s="1"/>
      <c r="B61" s="2"/>
      <c r="C61" s="28" t="s">
        <v>29</v>
      </c>
      <c r="D61" s="28"/>
      <c r="E61" s="28"/>
      <c r="F61" s="28"/>
      <c r="G61" s="28"/>
      <c r="H61" s="28"/>
      <c r="I61" s="28"/>
      <c r="J61" s="28"/>
      <c r="K61" s="28"/>
      <c r="L61" s="28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customFormat="false" ht="15" hidden="false" customHeight="true" outlineLevel="1" collapsed="false">
      <c r="A62" s="1"/>
      <c r="B62" s="2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customFormat="false" ht="23.4" hidden="false" customHeight="false" outlineLevel="0" collapsed="false">
      <c r="A63" s="1"/>
      <c r="B63" s="2"/>
      <c r="D63" s="52" t="s">
        <v>41</v>
      </c>
      <c r="E63" s="52"/>
      <c r="F63" s="52"/>
      <c r="G63" s="52"/>
      <c r="H63" s="52"/>
      <c r="J63" s="17" t="s">
        <v>15</v>
      </c>
      <c r="K63" s="18"/>
      <c r="L63" s="18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customFormat="false" ht="3.75" hidden="false" customHeight="true" outlineLevel="0" collapsed="false">
      <c r="A64" s="1"/>
      <c r="B64" s="2"/>
      <c r="D64" s="52"/>
      <c r="E64" s="52"/>
      <c r="F64" s="52"/>
      <c r="G64" s="52"/>
      <c r="H64" s="52"/>
      <c r="J64" s="17"/>
      <c r="K64" s="20"/>
      <c r="L64" s="20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customFormat="false" ht="23.4" hidden="false" customHeight="false" outlineLevel="0" collapsed="false">
      <c r="A65" s="1"/>
      <c r="B65" s="2"/>
      <c r="D65" s="5"/>
      <c r="E65" s="5"/>
      <c r="F65" s="52"/>
      <c r="G65" s="52"/>
      <c r="H65" s="52"/>
      <c r="J65" s="17" t="s">
        <v>16</v>
      </c>
      <c r="K65" s="22"/>
      <c r="L65" s="22"/>
      <c r="M65" s="3"/>
      <c r="N65" s="1"/>
      <c r="O65" s="1"/>
      <c r="P65" s="1"/>
      <c r="Q65" s="1"/>
      <c r="R65" s="53"/>
      <c r="S65" s="53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customFormat="false" ht="5.25" hidden="false" customHeight="true" outlineLevel="0" collapsed="false">
      <c r="A66" s="1"/>
      <c r="B66" s="2"/>
      <c r="D66" s="5"/>
      <c r="E66" s="5"/>
      <c r="F66" s="52"/>
      <c r="G66" s="52"/>
      <c r="H66" s="52"/>
      <c r="J66" s="17"/>
      <c r="K66" s="31"/>
      <c r="L66" s="31"/>
      <c r="M66" s="3"/>
      <c r="N66" s="1"/>
      <c r="O66" s="1"/>
      <c r="P66" s="1"/>
      <c r="Q66" s="1"/>
      <c r="R66" s="54"/>
      <c r="S66" s="54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customFormat="false" ht="15.6" hidden="false" customHeight="false" outlineLevel="0" collapsed="false">
      <c r="A67" s="1"/>
      <c r="B67" s="2"/>
      <c r="C67" s="24" t="s">
        <v>17</v>
      </c>
      <c r="D67" s="25" t="s">
        <v>42</v>
      </c>
      <c r="E67" s="25"/>
      <c r="F67" s="25"/>
      <c r="G67" s="25"/>
      <c r="H67" s="25"/>
      <c r="I67" s="25"/>
      <c r="J67" s="25"/>
      <c r="K67" s="35"/>
      <c r="L67" s="35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customFormat="false" ht="14.4" hidden="false" customHeight="false" outlineLevel="2" collapsed="false">
      <c r="A68" s="1"/>
      <c r="B68" s="2"/>
      <c r="C68" s="55" t="s">
        <v>33</v>
      </c>
      <c r="D68" s="56" t="s">
        <v>43</v>
      </c>
      <c r="E68" s="56"/>
      <c r="F68" s="56"/>
      <c r="G68" s="56"/>
      <c r="H68" s="56"/>
      <c r="I68" s="56"/>
      <c r="J68" s="56"/>
      <c r="K68" s="57"/>
      <c r="L68" s="57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customFormat="false" ht="14.4" hidden="false" customHeight="false" outlineLevel="2" collapsed="false">
      <c r="A69" s="1"/>
      <c r="B69" s="2"/>
      <c r="C69" s="39" t="s">
        <v>35</v>
      </c>
      <c r="D69" s="57" t="s">
        <v>44</v>
      </c>
      <c r="E69" s="57"/>
      <c r="F69" s="57"/>
      <c r="G69" s="57"/>
      <c r="H69" s="57"/>
      <c r="I69" s="57"/>
      <c r="J69" s="57"/>
      <c r="K69" s="57"/>
      <c r="L69" s="57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customFormat="false" ht="14.4" hidden="false" customHeight="false" outlineLevel="2" collapsed="false">
      <c r="A70" s="1"/>
      <c r="B70" s="2"/>
      <c r="C70" s="39" t="s">
        <v>37</v>
      </c>
      <c r="D70" s="57" t="s">
        <v>45</v>
      </c>
      <c r="E70" s="57"/>
      <c r="F70" s="57"/>
      <c r="G70" s="57"/>
      <c r="H70" s="57"/>
      <c r="I70" s="57"/>
      <c r="J70" s="57"/>
      <c r="K70" s="57"/>
      <c r="L70" s="57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customFormat="false" ht="14.4" hidden="false" customHeight="false" outlineLevel="2" collapsed="false">
      <c r="A71" s="1"/>
      <c r="B71" s="2"/>
      <c r="C71" s="39" t="s">
        <v>39</v>
      </c>
      <c r="D71" s="57" t="s">
        <v>46</v>
      </c>
      <c r="E71" s="57"/>
      <c r="F71" s="57"/>
      <c r="G71" s="57"/>
      <c r="H71" s="57"/>
      <c r="I71" s="57"/>
      <c r="J71" s="57"/>
      <c r="K71" s="57"/>
      <c r="L71" s="57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customFormat="false" ht="14.4" hidden="false" customHeight="false" outlineLevel="2" collapsed="false">
      <c r="A72" s="1"/>
      <c r="B72" s="2"/>
      <c r="C72" s="39" t="s">
        <v>47</v>
      </c>
      <c r="D72" s="57" t="s">
        <v>48</v>
      </c>
      <c r="E72" s="57"/>
      <c r="F72" s="57"/>
      <c r="G72" s="57"/>
      <c r="H72" s="57"/>
      <c r="I72" s="57"/>
      <c r="J72" s="57"/>
      <c r="K72" s="57"/>
      <c r="L72" s="57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customFormat="false" ht="14.4" hidden="false" customHeight="false" outlineLevel="2" collapsed="false">
      <c r="A73" s="1"/>
      <c r="B73" s="2"/>
      <c r="C73" s="39" t="s">
        <v>49</v>
      </c>
      <c r="D73" s="57" t="s">
        <v>50</v>
      </c>
      <c r="E73" s="57"/>
      <c r="F73" s="57"/>
      <c r="G73" s="57"/>
      <c r="H73" s="57"/>
      <c r="I73" s="57"/>
      <c r="J73" s="57"/>
      <c r="K73" s="57"/>
      <c r="L73" s="57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customFormat="false" ht="14.4" hidden="false" customHeight="false" outlineLevel="2" collapsed="false">
      <c r="A74" s="1"/>
      <c r="B74" s="2"/>
      <c r="C74" s="39" t="s">
        <v>51</v>
      </c>
      <c r="D74" s="57" t="s">
        <v>52</v>
      </c>
      <c r="E74" s="57"/>
      <c r="F74" s="57"/>
      <c r="G74" s="57"/>
      <c r="H74" s="57"/>
      <c r="I74" s="57"/>
      <c r="J74" s="57"/>
      <c r="K74" s="57"/>
      <c r="L74" s="57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customFormat="false" ht="14.4" hidden="false" customHeight="false" outlineLevel="2" collapsed="false">
      <c r="A75" s="1"/>
      <c r="B75" s="2"/>
      <c r="C75" s="39" t="s">
        <v>53</v>
      </c>
      <c r="D75" s="57" t="s">
        <v>54</v>
      </c>
      <c r="E75" s="57"/>
      <c r="F75" s="57"/>
      <c r="G75" s="57"/>
      <c r="H75" s="57"/>
      <c r="I75" s="57"/>
      <c r="J75" s="57"/>
      <c r="K75" s="57"/>
      <c r="L75" s="57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customFormat="false" ht="5.25" hidden="false" customHeight="true" outlineLevel="1" collapsed="false">
      <c r="A76" s="1"/>
      <c r="B76" s="2"/>
      <c r="C76" s="39"/>
      <c r="D76" s="46"/>
      <c r="E76" s="46"/>
      <c r="F76" s="46"/>
      <c r="G76" s="46"/>
      <c r="H76" s="46"/>
      <c r="I76" s="46"/>
      <c r="J76" s="46"/>
      <c r="K76" s="58"/>
      <c r="L76" s="58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customFormat="false" ht="15.6" hidden="false" customHeight="false" outlineLevel="0" collapsed="false">
      <c r="A77" s="1"/>
      <c r="B77" s="2"/>
      <c r="C77" s="24" t="s">
        <v>19</v>
      </c>
      <c r="D77" s="25" t="s">
        <v>55</v>
      </c>
      <c r="E77" s="25"/>
      <c r="F77" s="25"/>
      <c r="G77" s="25"/>
      <c r="H77" s="25"/>
      <c r="I77" s="25"/>
      <c r="J77" s="25"/>
      <c r="K77" s="35"/>
      <c r="L77" s="35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customFormat="false" ht="14.4" hidden="true" customHeight="false" outlineLevel="2" collapsed="false">
      <c r="A78" s="1"/>
      <c r="B78" s="2"/>
      <c r="C78" s="55" t="s">
        <v>33</v>
      </c>
      <c r="D78" s="56" t="s">
        <v>56</v>
      </c>
      <c r="E78" s="56"/>
      <c r="F78" s="56"/>
      <c r="G78" s="56"/>
      <c r="H78" s="56"/>
      <c r="I78" s="56"/>
      <c r="J78" s="56"/>
      <c r="K78" s="57"/>
      <c r="L78" s="57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customFormat="false" ht="14.4" hidden="true" customHeight="false" outlineLevel="2" collapsed="false">
      <c r="A79" s="1"/>
      <c r="B79" s="2"/>
      <c r="C79" s="39" t="s">
        <v>35</v>
      </c>
      <c r="D79" s="57" t="s">
        <v>57</v>
      </c>
      <c r="E79" s="57"/>
      <c r="F79" s="57"/>
      <c r="G79" s="57"/>
      <c r="H79" s="57"/>
      <c r="I79" s="57"/>
      <c r="J79" s="57"/>
      <c r="K79" s="57"/>
      <c r="L79" s="57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customFormat="false" ht="14.4" hidden="true" customHeight="false" outlineLevel="2" collapsed="false">
      <c r="A80" s="1"/>
      <c r="B80" s="2"/>
      <c r="C80" s="39" t="s">
        <v>37</v>
      </c>
      <c r="D80" s="57" t="s">
        <v>58</v>
      </c>
      <c r="E80" s="57"/>
      <c r="F80" s="57"/>
      <c r="G80" s="57"/>
      <c r="H80" s="57"/>
      <c r="I80" s="57"/>
      <c r="J80" s="57"/>
      <c r="K80" s="57"/>
      <c r="L80" s="57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customFormat="false" ht="14.4" hidden="true" customHeight="false" outlineLevel="2" collapsed="false">
      <c r="A81" s="1"/>
      <c r="B81" s="2"/>
      <c r="C81" s="39" t="s">
        <v>39</v>
      </c>
      <c r="D81" s="57" t="s">
        <v>59</v>
      </c>
      <c r="E81" s="57"/>
      <c r="F81" s="57"/>
      <c r="G81" s="57"/>
      <c r="H81" s="57"/>
      <c r="I81" s="57"/>
      <c r="J81" s="57"/>
      <c r="K81" s="57"/>
      <c r="L81" s="57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customFormat="false" ht="14.4" hidden="true" customHeight="false" outlineLevel="2" collapsed="false">
      <c r="A82" s="1"/>
      <c r="B82" s="2"/>
      <c r="C82" s="39" t="s">
        <v>47</v>
      </c>
      <c r="D82" s="57" t="s">
        <v>60</v>
      </c>
      <c r="E82" s="57"/>
      <c r="F82" s="57"/>
      <c r="G82" s="57"/>
      <c r="H82" s="57"/>
      <c r="I82" s="57"/>
      <c r="J82" s="57"/>
      <c r="K82" s="57"/>
      <c r="L82" s="57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customFormat="false" ht="14.4" hidden="true" customHeight="false" outlineLevel="2" collapsed="false">
      <c r="A83" s="1"/>
      <c r="B83" s="2"/>
      <c r="C83" s="39" t="s">
        <v>49</v>
      </c>
      <c r="D83" s="57" t="s">
        <v>61</v>
      </c>
      <c r="E83" s="57"/>
      <c r="F83" s="57"/>
      <c r="G83" s="57"/>
      <c r="H83" s="57"/>
      <c r="I83" s="57"/>
      <c r="J83" s="57"/>
      <c r="K83" s="57"/>
      <c r="L83" s="57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customFormat="false" ht="14.4" hidden="true" customHeight="false" outlineLevel="2" collapsed="false">
      <c r="A84" s="1"/>
      <c r="B84" s="2"/>
      <c r="C84" s="39" t="s">
        <v>51</v>
      </c>
      <c r="D84" s="57" t="s">
        <v>62</v>
      </c>
      <c r="E84" s="57"/>
      <c r="F84" s="57"/>
      <c r="G84" s="57"/>
      <c r="H84" s="57"/>
      <c r="I84" s="57"/>
      <c r="J84" s="57"/>
      <c r="K84" s="57"/>
      <c r="L84" s="57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customFormat="false" ht="15.75" hidden="true" customHeight="true" outlineLevel="2" collapsed="false">
      <c r="A85" s="1"/>
      <c r="B85" s="2"/>
      <c r="C85" s="39" t="s">
        <v>53</v>
      </c>
      <c r="D85" s="57" t="s">
        <v>63</v>
      </c>
      <c r="E85" s="57"/>
      <c r="F85" s="57"/>
      <c r="G85" s="57"/>
      <c r="H85" s="57"/>
      <c r="I85" s="57"/>
      <c r="J85" s="57"/>
      <c r="K85" s="57"/>
      <c r="L85" s="57"/>
      <c r="M85" s="3"/>
      <c r="N85" s="1"/>
      <c r="O85" s="1"/>
      <c r="P85" s="1"/>
      <c r="Q85" s="1"/>
      <c r="R85" s="53"/>
      <c r="S85" s="53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customFormat="false" ht="5.25" hidden="false" customHeight="true" outlineLevel="1" collapsed="true">
      <c r="A86" s="1"/>
      <c r="B86" s="2"/>
      <c r="C86" s="39"/>
      <c r="D86" s="46"/>
      <c r="E86" s="46"/>
      <c r="F86" s="46"/>
      <c r="G86" s="46"/>
      <c r="H86" s="46"/>
      <c r="I86" s="46"/>
      <c r="J86" s="46"/>
      <c r="K86" s="58"/>
      <c r="L86" s="58"/>
      <c r="M86" s="3"/>
      <c r="N86" s="1"/>
      <c r="O86" s="1"/>
      <c r="P86" s="1"/>
      <c r="Q86" s="1"/>
      <c r="R86" s="54"/>
      <c r="S86" s="54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customFormat="false" ht="15.6" hidden="false" customHeight="false" outlineLevel="0" collapsed="false">
      <c r="A87" s="1"/>
      <c r="B87" s="2"/>
      <c r="C87" s="24" t="s">
        <v>21</v>
      </c>
      <c r="D87" s="25" t="s">
        <v>64</v>
      </c>
      <c r="E87" s="25"/>
      <c r="F87" s="25"/>
      <c r="G87" s="25"/>
      <c r="H87" s="25"/>
      <c r="I87" s="25"/>
      <c r="J87" s="25"/>
      <c r="K87" s="59"/>
      <c r="L87" s="59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customFormat="false" ht="14.4" hidden="true" customHeight="false" outlineLevel="2" collapsed="false">
      <c r="A88" s="1"/>
      <c r="B88" s="2"/>
      <c r="C88" s="55" t="s">
        <v>33</v>
      </c>
      <c r="D88" s="56" t="s">
        <v>65</v>
      </c>
      <c r="E88" s="56"/>
      <c r="F88" s="56"/>
      <c r="G88" s="56"/>
      <c r="H88" s="56"/>
      <c r="I88" s="56"/>
      <c r="J88" s="56"/>
      <c r="K88" s="57"/>
      <c r="L88" s="57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customFormat="false" ht="14.4" hidden="true" customHeight="false" outlineLevel="2" collapsed="false">
      <c r="A89" s="1"/>
      <c r="B89" s="2"/>
      <c r="C89" s="39" t="s">
        <v>35</v>
      </c>
      <c r="D89" s="57" t="s">
        <v>66</v>
      </c>
      <c r="E89" s="57"/>
      <c r="F89" s="57"/>
      <c r="G89" s="57"/>
      <c r="H89" s="57"/>
      <c r="I89" s="57"/>
      <c r="J89" s="57"/>
      <c r="K89" s="57"/>
      <c r="L89" s="57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customFormat="false" ht="14.4" hidden="true" customHeight="false" outlineLevel="2" collapsed="false">
      <c r="A90" s="1"/>
      <c r="B90" s="2"/>
      <c r="C90" s="39" t="s">
        <v>37</v>
      </c>
      <c r="D90" s="57" t="s">
        <v>67</v>
      </c>
      <c r="E90" s="57"/>
      <c r="F90" s="57"/>
      <c r="G90" s="57"/>
      <c r="H90" s="57"/>
      <c r="I90" s="57"/>
      <c r="J90" s="57"/>
      <c r="K90" s="57"/>
      <c r="L90" s="57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customFormat="false" ht="14.4" hidden="true" customHeight="false" outlineLevel="2" collapsed="false">
      <c r="A91" s="1"/>
      <c r="B91" s="2"/>
      <c r="C91" s="39" t="s">
        <v>39</v>
      </c>
      <c r="D91" s="57" t="s">
        <v>68</v>
      </c>
      <c r="E91" s="57"/>
      <c r="F91" s="57"/>
      <c r="G91" s="57"/>
      <c r="H91" s="57"/>
      <c r="I91" s="57"/>
      <c r="J91" s="57"/>
      <c r="K91" s="57"/>
      <c r="L91" s="57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customFormat="false" ht="14.4" hidden="true" customHeight="false" outlineLevel="2" collapsed="false">
      <c r="A92" s="1"/>
      <c r="B92" s="2"/>
      <c r="C92" s="39" t="s">
        <v>47</v>
      </c>
      <c r="D92" s="57" t="s">
        <v>69</v>
      </c>
      <c r="E92" s="57"/>
      <c r="F92" s="57"/>
      <c r="G92" s="57"/>
      <c r="H92" s="57"/>
      <c r="I92" s="57"/>
      <c r="J92" s="57"/>
      <c r="K92" s="57"/>
      <c r="L92" s="57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customFormat="false" ht="14.4" hidden="true" customHeight="false" outlineLevel="2" collapsed="false">
      <c r="A93" s="1"/>
      <c r="B93" s="2"/>
      <c r="C93" s="39" t="s">
        <v>49</v>
      </c>
      <c r="D93" s="57" t="s">
        <v>70</v>
      </c>
      <c r="E93" s="57"/>
      <c r="F93" s="57"/>
      <c r="G93" s="57"/>
      <c r="H93" s="57"/>
      <c r="I93" s="57"/>
      <c r="J93" s="57"/>
      <c r="K93" s="57"/>
      <c r="L93" s="57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customFormat="false" ht="14.4" hidden="true" customHeight="false" outlineLevel="2" collapsed="false">
      <c r="A94" s="1"/>
      <c r="B94" s="2"/>
      <c r="C94" s="39" t="s">
        <v>51</v>
      </c>
      <c r="D94" s="57" t="s">
        <v>71</v>
      </c>
      <c r="E94" s="57"/>
      <c r="F94" s="57"/>
      <c r="G94" s="57"/>
      <c r="H94" s="57"/>
      <c r="I94" s="57"/>
      <c r="J94" s="57"/>
      <c r="K94" s="57"/>
      <c r="L94" s="57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customFormat="false" ht="14.4" hidden="true" customHeight="false" outlineLevel="2" collapsed="false">
      <c r="A95" s="1"/>
      <c r="B95" s="2"/>
      <c r="C95" s="39" t="s">
        <v>53</v>
      </c>
      <c r="D95" s="57" t="s">
        <v>72</v>
      </c>
      <c r="E95" s="57"/>
      <c r="F95" s="57"/>
      <c r="G95" s="57"/>
      <c r="H95" s="57"/>
      <c r="I95" s="57"/>
      <c r="J95" s="57"/>
      <c r="K95" s="57"/>
      <c r="L95" s="57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customFormat="false" ht="5.25" hidden="true" customHeight="true" outlineLevel="1" collapsed="true">
      <c r="A96" s="1"/>
      <c r="B96" s="2"/>
      <c r="C96" s="39"/>
      <c r="D96" s="46"/>
      <c r="E96" s="46"/>
      <c r="F96" s="46"/>
      <c r="G96" s="46"/>
      <c r="H96" s="46"/>
      <c r="I96" s="46"/>
      <c r="J96" s="46"/>
      <c r="K96" s="58"/>
      <c r="L96" s="58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customFormat="false" ht="15.6" hidden="false" customHeight="false" outlineLevel="0" collapsed="false">
      <c r="A97" s="1"/>
      <c r="B97" s="2"/>
      <c r="C97" s="24" t="s">
        <v>23</v>
      </c>
      <c r="D97" s="25" t="s">
        <v>73</v>
      </c>
      <c r="E97" s="25"/>
      <c r="F97" s="25"/>
      <c r="G97" s="25"/>
      <c r="H97" s="25"/>
      <c r="I97" s="25"/>
      <c r="J97" s="25"/>
      <c r="K97" s="59"/>
      <c r="L97" s="59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customFormat="false" ht="14.4" hidden="true" customHeight="false" outlineLevel="2" collapsed="false">
      <c r="A98" s="1"/>
      <c r="B98" s="2"/>
      <c r="C98" s="55" t="s">
        <v>33</v>
      </c>
      <c r="D98" s="56" t="s">
        <v>74</v>
      </c>
      <c r="E98" s="56"/>
      <c r="F98" s="56"/>
      <c r="G98" s="56"/>
      <c r="H98" s="56"/>
      <c r="I98" s="56"/>
      <c r="J98" s="56"/>
      <c r="K98" s="57"/>
      <c r="L98" s="57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customFormat="false" ht="14.4" hidden="true" customHeight="false" outlineLevel="2" collapsed="false">
      <c r="A99" s="1"/>
      <c r="B99" s="2"/>
      <c r="C99" s="39" t="s">
        <v>35</v>
      </c>
      <c r="D99" s="57" t="s">
        <v>75</v>
      </c>
      <c r="E99" s="57"/>
      <c r="F99" s="57"/>
      <c r="G99" s="57"/>
      <c r="H99" s="57"/>
      <c r="I99" s="57"/>
      <c r="J99" s="57"/>
      <c r="K99" s="57"/>
      <c r="L99" s="57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customFormat="false" ht="14.4" hidden="true" customHeight="false" outlineLevel="2" collapsed="false">
      <c r="A100" s="1"/>
      <c r="B100" s="2"/>
      <c r="C100" s="39" t="s">
        <v>37</v>
      </c>
      <c r="D100" s="57" t="s">
        <v>76</v>
      </c>
      <c r="E100" s="57"/>
      <c r="F100" s="57"/>
      <c r="G100" s="57"/>
      <c r="H100" s="57"/>
      <c r="I100" s="57"/>
      <c r="J100" s="57"/>
      <c r="K100" s="57"/>
      <c r="L100" s="57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customFormat="false" ht="14.4" hidden="true" customHeight="false" outlineLevel="2" collapsed="false">
      <c r="A101" s="1"/>
      <c r="B101" s="2"/>
      <c r="C101" s="39" t="s">
        <v>39</v>
      </c>
      <c r="D101" s="57" t="s">
        <v>77</v>
      </c>
      <c r="E101" s="57"/>
      <c r="F101" s="57"/>
      <c r="G101" s="57"/>
      <c r="H101" s="57"/>
      <c r="I101" s="57"/>
      <c r="J101" s="57"/>
      <c r="K101" s="57"/>
      <c r="L101" s="57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customFormat="false" ht="14.4" hidden="true" customHeight="false" outlineLevel="2" collapsed="false">
      <c r="A102" s="1"/>
      <c r="B102" s="2"/>
      <c r="C102" s="39" t="s">
        <v>47</v>
      </c>
      <c r="D102" s="57" t="s">
        <v>78</v>
      </c>
      <c r="E102" s="57"/>
      <c r="F102" s="57"/>
      <c r="G102" s="57"/>
      <c r="H102" s="57"/>
      <c r="I102" s="57"/>
      <c r="J102" s="57"/>
      <c r="K102" s="57"/>
      <c r="L102" s="57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customFormat="false" ht="14.4" hidden="true" customHeight="false" outlineLevel="2" collapsed="false">
      <c r="A103" s="1"/>
      <c r="B103" s="2"/>
      <c r="C103" s="39" t="s">
        <v>49</v>
      </c>
      <c r="D103" s="57" t="s">
        <v>79</v>
      </c>
      <c r="E103" s="57"/>
      <c r="F103" s="57"/>
      <c r="G103" s="57"/>
      <c r="H103" s="57"/>
      <c r="I103" s="57"/>
      <c r="J103" s="57"/>
      <c r="K103" s="57"/>
      <c r="L103" s="57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customFormat="false" ht="14.4" hidden="true" customHeight="false" outlineLevel="2" collapsed="false">
      <c r="A104" s="1"/>
      <c r="B104" s="2"/>
      <c r="C104" s="39" t="s">
        <v>51</v>
      </c>
      <c r="D104" s="57" t="s">
        <v>80</v>
      </c>
      <c r="E104" s="57"/>
      <c r="F104" s="57"/>
      <c r="G104" s="57"/>
      <c r="H104" s="57"/>
      <c r="I104" s="57"/>
      <c r="J104" s="57"/>
      <c r="K104" s="57"/>
      <c r="L104" s="57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customFormat="false" ht="14.4" hidden="true" customHeight="false" outlineLevel="2" collapsed="false">
      <c r="A105" s="1"/>
      <c r="B105" s="2"/>
      <c r="C105" s="39" t="s">
        <v>53</v>
      </c>
      <c r="D105" s="57" t="s">
        <v>81</v>
      </c>
      <c r="E105" s="57"/>
      <c r="F105" s="57"/>
      <c r="G105" s="57"/>
      <c r="H105" s="57"/>
      <c r="I105" s="57"/>
      <c r="J105" s="57"/>
      <c r="K105" s="57"/>
      <c r="L105" s="57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customFormat="false" ht="7.5" hidden="true" customHeight="true" outlineLevel="1" collapsed="true">
      <c r="A106" s="1"/>
      <c r="B106" s="2"/>
      <c r="C106" s="39"/>
      <c r="D106" s="46"/>
      <c r="E106" s="46"/>
      <c r="F106" s="46"/>
      <c r="G106" s="46"/>
      <c r="H106" s="46"/>
      <c r="I106" s="46"/>
      <c r="J106" s="46"/>
      <c r="K106" s="58"/>
      <c r="L106" s="58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customFormat="false" ht="15.6" hidden="false" customHeight="false" outlineLevel="0" collapsed="false">
      <c r="A107" s="1"/>
      <c r="B107" s="2"/>
      <c r="C107" s="24" t="s">
        <v>40</v>
      </c>
      <c r="D107" s="25" t="s">
        <v>82</v>
      </c>
      <c r="E107" s="25"/>
      <c r="F107" s="25"/>
      <c r="G107" s="25"/>
      <c r="H107" s="25"/>
      <c r="I107" s="25"/>
      <c r="J107" s="25"/>
      <c r="K107" s="59"/>
      <c r="L107" s="59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customFormat="false" ht="14.4" hidden="true" customHeight="false" outlineLevel="3" collapsed="false">
      <c r="A108" s="1"/>
      <c r="B108" s="2"/>
      <c r="C108" s="55" t="s">
        <v>33</v>
      </c>
      <c r="D108" s="56" t="s">
        <v>83</v>
      </c>
      <c r="E108" s="56"/>
      <c r="F108" s="56"/>
      <c r="G108" s="56"/>
      <c r="H108" s="56"/>
      <c r="I108" s="56"/>
      <c r="J108" s="56"/>
      <c r="K108" s="57"/>
      <c r="L108" s="57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customFormat="false" ht="14.4" hidden="true" customHeight="false" outlineLevel="3" collapsed="false">
      <c r="A109" s="1"/>
      <c r="B109" s="2"/>
      <c r="C109" s="39" t="s">
        <v>35</v>
      </c>
      <c r="D109" s="57" t="s">
        <v>84</v>
      </c>
      <c r="E109" s="57"/>
      <c r="F109" s="57"/>
      <c r="G109" s="57"/>
      <c r="H109" s="57"/>
      <c r="I109" s="57"/>
      <c r="J109" s="57"/>
      <c r="K109" s="57"/>
      <c r="L109" s="57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customFormat="false" ht="14.4" hidden="true" customHeight="false" outlineLevel="3" collapsed="false">
      <c r="A110" s="1"/>
      <c r="B110" s="2"/>
      <c r="C110" s="39" t="s">
        <v>37</v>
      </c>
      <c r="D110" s="57" t="s">
        <v>85</v>
      </c>
      <c r="E110" s="57"/>
      <c r="F110" s="57"/>
      <c r="G110" s="57"/>
      <c r="H110" s="57"/>
      <c r="I110" s="57"/>
      <c r="J110" s="57"/>
      <c r="K110" s="57"/>
      <c r="L110" s="57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customFormat="false" ht="14.4" hidden="true" customHeight="false" outlineLevel="3" collapsed="false">
      <c r="A111" s="1"/>
      <c r="B111" s="2"/>
      <c r="C111" s="39" t="s">
        <v>39</v>
      </c>
      <c r="D111" s="57" t="s">
        <v>86</v>
      </c>
      <c r="E111" s="57"/>
      <c r="F111" s="57"/>
      <c r="G111" s="57"/>
      <c r="H111" s="57"/>
      <c r="I111" s="57"/>
      <c r="J111" s="57"/>
      <c r="K111" s="57"/>
      <c r="L111" s="57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customFormat="false" ht="14.4" hidden="true" customHeight="false" outlineLevel="3" collapsed="false">
      <c r="A112" s="1"/>
      <c r="B112" s="2"/>
      <c r="C112" s="39" t="s">
        <v>47</v>
      </c>
      <c r="D112" s="57" t="s">
        <v>87</v>
      </c>
      <c r="E112" s="57"/>
      <c r="F112" s="57"/>
      <c r="G112" s="57"/>
      <c r="H112" s="57"/>
      <c r="I112" s="57"/>
      <c r="J112" s="57"/>
      <c r="K112" s="57"/>
      <c r="L112" s="57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customFormat="false" ht="14.4" hidden="true" customHeight="false" outlineLevel="3" collapsed="false">
      <c r="A113" s="1"/>
      <c r="B113" s="2"/>
      <c r="C113" s="39" t="s">
        <v>49</v>
      </c>
      <c r="D113" s="57" t="s">
        <v>88</v>
      </c>
      <c r="E113" s="57"/>
      <c r="F113" s="57"/>
      <c r="G113" s="57"/>
      <c r="H113" s="57"/>
      <c r="I113" s="57"/>
      <c r="J113" s="57"/>
      <c r="K113" s="57"/>
      <c r="L113" s="57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customFormat="false" ht="14.4" hidden="true" customHeight="false" outlineLevel="3" collapsed="false">
      <c r="A114" s="1"/>
      <c r="B114" s="2"/>
      <c r="C114" s="39" t="s">
        <v>51</v>
      </c>
      <c r="D114" s="57" t="s">
        <v>89</v>
      </c>
      <c r="E114" s="57"/>
      <c r="F114" s="57"/>
      <c r="G114" s="57"/>
      <c r="H114" s="57"/>
      <c r="I114" s="57"/>
      <c r="J114" s="57"/>
      <c r="K114" s="57"/>
      <c r="L114" s="57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customFormat="false" ht="14.4" hidden="true" customHeight="false" outlineLevel="3" collapsed="false">
      <c r="A115" s="1"/>
      <c r="B115" s="2"/>
      <c r="C115" s="39" t="s">
        <v>53</v>
      </c>
      <c r="D115" s="57" t="s">
        <v>90</v>
      </c>
      <c r="E115" s="57"/>
      <c r="F115" s="57"/>
      <c r="G115" s="57"/>
      <c r="H115" s="57"/>
      <c r="I115" s="57"/>
      <c r="J115" s="57"/>
      <c r="K115" s="57"/>
      <c r="L115" s="57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customFormat="false" ht="5.25" hidden="true" customHeight="true" outlineLevel="2" collapsed="true">
      <c r="A116" s="1"/>
      <c r="B116" s="2"/>
      <c r="C116" s="39"/>
      <c r="D116" s="46"/>
      <c r="E116" s="46"/>
      <c r="F116" s="46"/>
      <c r="G116" s="46"/>
      <c r="H116" s="46"/>
      <c r="I116" s="46"/>
      <c r="J116" s="46"/>
      <c r="K116" s="58"/>
      <c r="L116" s="58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customFormat="false" ht="15.6" hidden="false" customHeight="false" outlineLevel="0" collapsed="false">
      <c r="A117" s="1"/>
      <c r="B117" s="2"/>
      <c r="C117" s="24" t="s">
        <v>91</v>
      </c>
      <c r="D117" s="25" t="s">
        <v>92</v>
      </c>
      <c r="E117" s="25"/>
      <c r="F117" s="25"/>
      <c r="G117" s="25"/>
      <c r="H117" s="25"/>
      <c r="I117" s="25"/>
      <c r="J117" s="25"/>
      <c r="K117" s="59"/>
      <c r="L117" s="59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customFormat="false" ht="14.4" hidden="true" customHeight="false" outlineLevel="2" collapsed="false">
      <c r="A118" s="1"/>
      <c r="B118" s="2"/>
      <c r="C118" s="55" t="s">
        <v>33</v>
      </c>
      <c r="D118" s="56" t="s">
        <v>93</v>
      </c>
      <c r="E118" s="56"/>
      <c r="F118" s="56"/>
      <c r="G118" s="56"/>
      <c r="H118" s="56"/>
      <c r="I118" s="56"/>
      <c r="J118" s="56"/>
      <c r="K118" s="57"/>
      <c r="L118" s="57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customFormat="false" ht="14.4" hidden="true" customHeight="false" outlineLevel="2" collapsed="false">
      <c r="A119" s="1"/>
      <c r="B119" s="2"/>
      <c r="C119" s="39" t="s">
        <v>35</v>
      </c>
      <c r="D119" s="57" t="s">
        <v>94</v>
      </c>
      <c r="E119" s="57"/>
      <c r="F119" s="57"/>
      <c r="G119" s="57"/>
      <c r="H119" s="57"/>
      <c r="I119" s="57"/>
      <c r="J119" s="57"/>
      <c r="K119" s="57"/>
      <c r="L119" s="57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customFormat="false" ht="14.4" hidden="true" customHeight="false" outlineLevel="2" collapsed="false">
      <c r="A120" s="1"/>
      <c r="B120" s="2"/>
      <c r="C120" s="39" t="s">
        <v>37</v>
      </c>
      <c r="D120" s="57" t="s">
        <v>95</v>
      </c>
      <c r="E120" s="57"/>
      <c r="F120" s="57"/>
      <c r="G120" s="57"/>
      <c r="H120" s="57"/>
      <c r="I120" s="57"/>
      <c r="J120" s="57"/>
      <c r="K120" s="57"/>
      <c r="L120" s="57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customFormat="false" ht="14.4" hidden="true" customHeight="false" outlineLevel="2" collapsed="false">
      <c r="A121" s="1"/>
      <c r="B121" s="2"/>
      <c r="C121" s="39" t="s">
        <v>39</v>
      </c>
      <c r="D121" s="57" t="s">
        <v>96</v>
      </c>
      <c r="E121" s="57"/>
      <c r="F121" s="57"/>
      <c r="G121" s="57"/>
      <c r="H121" s="57"/>
      <c r="I121" s="57"/>
      <c r="J121" s="57"/>
      <c r="K121" s="57"/>
      <c r="L121" s="57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customFormat="false" ht="14.4" hidden="true" customHeight="false" outlineLevel="2" collapsed="false">
      <c r="A122" s="1"/>
      <c r="B122" s="2"/>
      <c r="C122" s="39" t="s">
        <v>47</v>
      </c>
      <c r="D122" s="57" t="s">
        <v>97</v>
      </c>
      <c r="E122" s="57"/>
      <c r="F122" s="57"/>
      <c r="G122" s="57"/>
      <c r="H122" s="57"/>
      <c r="I122" s="57"/>
      <c r="J122" s="57"/>
      <c r="K122" s="57"/>
      <c r="L122" s="57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customFormat="false" ht="14.4" hidden="true" customHeight="false" outlineLevel="2" collapsed="false">
      <c r="A123" s="1"/>
      <c r="B123" s="2"/>
      <c r="C123" s="39" t="s">
        <v>49</v>
      </c>
      <c r="D123" s="57" t="s">
        <v>98</v>
      </c>
      <c r="E123" s="57"/>
      <c r="F123" s="57"/>
      <c r="G123" s="57"/>
      <c r="H123" s="57"/>
      <c r="I123" s="57"/>
      <c r="J123" s="57"/>
      <c r="K123" s="57"/>
      <c r="L123" s="57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customFormat="false" ht="14.4" hidden="true" customHeight="false" outlineLevel="2" collapsed="false">
      <c r="A124" s="1"/>
      <c r="B124" s="2"/>
      <c r="C124" s="39" t="s">
        <v>51</v>
      </c>
      <c r="D124" s="57" t="s">
        <v>99</v>
      </c>
      <c r="E124" s="57"/>
      <c r="F124" s="57"/>
      <c r="G124" s="57"/>
      <c r="H124" s="57"/>
      <c r="I124" s="57"/>
      <c r="J124" s="57"/>
      <c r="K124" s="57"/>
      <c r="L124" s="57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customFormat="false" ht="14.4" hidden="true" customHeight="false" outlineLevel="2" collapsed="false">
      <c r="A125" s="1"/>
      <c r="B125" s="2"/>
      <c r="C125" s="39" t="s">
        <v>53</v>
      </c>
      <c r="D125" s="57" t="s">
        <v>100</v>
      </c>
      <c r="E125" s="57"/>
      <c r="F125" s="57"/>
      <c r="G125" s="57"/>
      <c r="H125" s="57"/>
      <c r="I125" s="57"/>
      <c r="J125" s="57"/>
      <c r="K125" s="57"/>
      <c r="L125" s="57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customFormat="false" ht="5.25" hidden="true" customHeight="true" outlineLevel="1" collapsed="true">
      <c r="A126" s="1"/>
      <c r="B126" s="2"/>
      <c r="C126" s="39"/>
      <c r="D126" s="46"/>
      <c r="E126" s="46"/>
      <c r="F126" s="46"/>
      <c r="G126" s="46"/>
      <c r="H126" s="46"/>
      <c r="I126" s="46"/>
      <c r="J126" s="46"/>
      <c r="K126" s="58"/>
      <c r="L126" s="58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customFormat="false" ht="15.6" hidden="false" customHeight="false" outlineLevel="0" collapsed="false">
      <c r="A127" s="1"/>
      <c r="B127" s="2"/>
      <c r="C127" s="24" t="s">
        <v>101</v>
      </c>
      <c r="D127" s="25" t="s">
        <v>102</v>
      </c>
      <c r="E127" s="25"/>
      <c r="F127" s="25"/>
      <c r="G127" s="25"/>
      <c r="H127" s="25"/>
      <c r="I127" s="25"/>
      <c r="J127" s="25"/>
      <c r="K127" s="59"/>
      <c r="L127" s="59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customFormat="false" ht="14.4" hidden="true" customHeight="false" outlineLevel="2" collapsed="false">
      <c r="A128" s="1"/>
      <c r="B128" s="2"/>
      <c r="C128" s="55" t="s">
        <v>33</v>
      </c>
      <c r="D128" s="56" t="s">
        <v>103</v>
      </c>
      <c r="E128" s="56"/>
      <c r="F128" s="56"/>
      <c r="G128" s="56"/>
      <c r="H128" s="56"/>
      <c r="I128" s="56"/>
      <c r="J128" s="56"/>
      <c r="K128" s="57"/>
      <c r="L128" s="57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customFormat="false" ht="14.4" hidden="true" customHeight="false" outlineLevel="2" collapsed="false">
      <c r="A129" s="1"/>
      <c r="B129" s="2"/>
      <c r="C129" s="39" t="s">
        <v>35</v>
      </c>
      <c r="D129" s="57" t="s">
        <v>104</v>
      </c>
      <c r="E129" s="57"/>
      <c r="F129" s="57"/>
      <c r="G129" s="57"/>
      <c r="H129" s="57"/>
      <c r="I129" s="57"/>
      <c r="J129" s="57"/>
      <c r="K129" s="57"/>
      <c r="L129" s="57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customFormat="false" ht="14.4" hidden="true" customHeight="false" outlineLevel="2" collapsed="false">
      <c r="A130" s="1"/>
      <c r="B130" s="2"/>
      <c r="C130" s="39" t="s">
        <v>37</v>
      </c>
      <c r="D130" s="57" t="s">
        <v>105</v>
      </c>
      <c r="E130" s="57"/>
      <c r="F130" s="57"/>
      <c r="G130" s="57"/>
      <c r="H130" s="57"/>
      <c r="I130" s="57"/>
      <c r="J130" s="57"/>
      <c r="K130" s="57"/>
      <c r="L130" s="57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customFormat="false" ht="14.4" hidden="true" customHeight="false" outlineLevel="2" collapsed="false">
      <c r="A131" s="1"/>
      <c r="B131" s="2"/>
      <c r="C131" s="39" t="s">
        <v>39</v>
      </c>
      <c r="D131" s="57" t="s">
        <v>106</v>
      </c>
      <c r="E131" s="57"/>
      <c r="F131" s="57"/>
      <c r="G131" s="57"/>
      <c r="H131" s="57"/>
      <c r="I131" s="57"/>
      <c r="J131" s="57"/>
      <c r="K131" s="57"/>
      <c r="L131" s="57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customFormat="false" ht="14.4" hidden="true" customHeight="false" outlineLevel="2" collapsed="false">
      <c r="A132" s="1"/>
      <c r="B132" s="2"/>
      <c r="C132" s="39" t="s">
        <v>47</v>
      </c>
      <c r="D132" s="57" t="s">
        <v>107</v>
      </c>
      <c r="E132" s="57"/>
      <c r="F132" s="57"/>
      <c r="G132" s="57"/>
      <c r="H132" s="57"/>
      <c r="I132" s="57"/>
      <c r="J132" s="57"/>
      <c r="K132" s="57"/>
      <c r="L132" s="57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customFormat="false" ht="14.4" hidden="true" customHeight="false" outlineLevel="2" collapsed="false">
      <c r="A133" s="1"/>
      <c r="B133" s="2"/>
      <c r="C133" s="39" t="s">
        <v>49</v>
      </c>
      <c r="D133" s="57" t="s">
        <v>108</v>
      </c>
      <c r="E133" s="57"/>
      <c r="F133" s="57"/>
      <c r="G133" s="57"/>
      <c r="H133" s="57"/>
      <c r="I133" s="57"/>
      <c r="J133" s="57"/>
      <c r="K133" s="57"/>
      <c r="L133" s="57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customFormat="false" ht="14.4" hidden="true" customHeight="false" outlineLevel="2" collapsed="false">
      <c r="A134" s="1"/>
      <c r="B134" s="2"/>
      <c r="C134" s="39" t="s">
        <v>51</v>
      </c>
      <c r="D134" s="57" t="s">
        <v>109</v>
      </c>
      <c r="E134" s="57"/>
      <c r="F134" s="57"/>
      <c r="G134" s="57"/>
      <c r="H134" s="57"/>
      <c r="I134" s="57"/>
      <c r="J134" s="57"/>
      <c r="K134" s="57"/>
      <c r="L134" s="57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customFormat="false" ht="14.4" hidden="true" customHeight="false" outlineLevel="2" collapsed="false">
      <c r="A135" s="1"/>
      <c r="B135" s="2"/>
      <c r="C135" s="39" t="s">
        <v>53</v>
      </c>
      <c r="D135" s="57" t="s">
        <v>110</v>
      </c>
      <c r="E135" s="57"/>
      <c r="F135" s="57"/>
      <c r="G135" s="57"/>
      <c r="H135" s="57"/>
      <c r="I135" s="57"/>
      <c r="J135" s="57"/>
      <c r="K135" s="57"/>
      <c r="L135" s="57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customFormat="false" ht="5.25" hidden="true" customHeight="true" outlineLevel="1" collapsed="true">
      <c r="A136" s="1"/>
      <c r="B136" s="2"/>
      <c r="C136" s="39"/>
      <c r="D136" s="46"/>
      <c r="E136" s="46"/>
      <c r="F136" s="46"/>
      <c r="G136" s="46"/>
      <c r="H136" s="46"/>
      <c r="I136" s="46"/>
      <c r="J136" s="46"/>
      <c r="K136" s="58"/>
      <c r="L136" s="58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customFormat="false" ht="15.6" hidden="false" customHeight="false" outlineLevel="0" collapsed="false">
      <c r="A137" s="1"/>
      <c r="B137" s="2"/>
      <c r="C137" s="60" t="s">
        <v>111</v>
      </c>
      <c r="D137" s="61" t="s">
        <v>112</v>
      </c>
      <c r="E137" s="61"/>
      <c r="F137" s="61"/>
      <c r="G137" s="61"/>
      <c r="H137" s="61"/>
      <c r="I137" s="61"/>
      <c r="J137" s="61"/>
      <c r="K137" s="59"/>
      <c r="L137" s="59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customFormat="false" ht="14.4" hidden="true" customHeight="false" outlineLevel="1" collapsed="false">
      <c r="A138" s="1"/>
      <c r="B138" s="2"/>
      <c r="C138" s="55" t="s">
        <v>33</v>
      </c>
      <c r="D138" s="56" t="s">
        <v>113</v>
      </c>
      <c r="E138" s="56"/>
      <c r="F138" s="56"/>
      <c r="G138" s="56"/>
      <c r="H138" s="56"/>
      <c r="I138" s="56"/>
      <c r="J138" s="56"/>
      <c r="K138" s="57"/>
      <c r="L138" s="57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customFormat="false" ht="14.4" hidden="true" customHeight="false" outlineLevel="1" collapsed="false">
      <c r="A139" s="1"/>
      <c r="B139" s="2"/>
      <c r="C139" s="39" t="s">
        <v>35</v>
      </c>
      <c r="D139" s="57" t="s">
        <v>114</v>
      </c>
      <c r="E139" s="57"/>
      <c r="F139" s="57"/>
      <c r="G139" s="57"/>
      <c r="H139" s="57"/>
      <c r="I139" s="57"/>
      <c r="J139" s="57"/>
      <c r="K139" s="57"/>
      <c r="L139" s="57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customFormat="false" ht="14.4" hidden="true" customHeight="false" outlineLevel="1" collapsed="false">
      <c r="A140" s="1"/>
      <c r="B140" s="2"/>
      <c r="C140" s="39" t="s">
        <v>37</v>
      </c>
      <c r="D140" s="57" t="s">
        <v>115</v>
      </c>
      <c r="E140" s="57"/>
      <c r="F140" s="57"/>
      <c r="G140" s="57"/>
      <c r="H140" s="57"/>
      <c r="I140" s="57"/>
      <c r="J140" s="57"/>
      <c r="K140" s="57"/>
      <c r="L140" s="57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customFormat="false" ht="14.4" hidden="true" customHeight="false" outlineLevel="1" collapsed="false">
      <c r="A141" s="1"/>
      <c r="B141" s="2"/>
      <c r="C141" s="39" t="s">
        <v>39</v>
      </c>
      <c r="D141" s="57" t="s">
        <v>116</v>
      </c>
      <c r="E141" s="57"/>
      <c r="F141" s="57"/>
      <c r="G141" s="57"/>
      <c r="H141" s="57"/>
      <c r="I141" s="57"/>
      <c r="J141" s="57"/>
      <c r="K141" s="57"/>
      <c r="L141" s="57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customFormat="false" ht="14.4" hidden="true" customHeight="false" outlineLevel="1" collapsed="false">
      <c r="A142" s="1"/>
      <c r="B142" s="2"/>
      <c r="C142" s="39" t="s">
        <v>47</v>
      </c>
      <c r="D142" s="57" t="s">
        <v>117</v>
      </c>
      <c r="E142" s="57"/>
      <c r="F142" s="57"/>
      <c r="G142" s="57"/>
      <c r="H142" s="57"/>
      <c r="I142" s="57"/>
      <c r="J142" s="57"/>
      <c r="K142" s="57"/>
      <c r="L142" s="57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customFormat="false" ht="14.4" hidden="true" customHeight="false" outlineLevel="1" collapsed="false">
      <c r="A143" s="1"/>
      <c r="B143" s="2"/>
      <c r="C143" s="39" t="s">
        <v>49</v>
      </c>
      <c r="D143" s="57" t="s">
        <v>118</v>
      </c>
      <c r="E143" s="57"/>
      <c r="F143" s="57"/>
      <c r="G143" s="57"/>
      <c r="H143" s="57"/>
      <c r="I143" s="57"/>
      <c r="J143" s="57"/>
      <c r="K143" s="57"/>
      <c r="L143" s="57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customFormat="false" ht="14.4" hidden="true" customHeight="false" outlineLevel="1" collapsed="false">
      <c r="A144" s="1"/>
      <c r="B144" s="2"/>
      <c r="C144" s="39" t="s">
        <v>51</v>
      </c>
      <c r="D144" s="57" t="s">
        <v>119</v>
      </c>
      <c r="E144" s="57"/>
      <c r="F144" s="57"/>
      <c r="G144" s="57"/>
      <c r="H144" s="57"/>
      <c r="I144" s="57"/>
      <c r="J144" s="57"/>
      <c r="K144" s="57"/>
      <c r="L144" s="57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customFormat="false" ht="14.4" hidden="true" customHeight="false" outlineLevel="1" collapsed="false">
      <c r="A145" s="1"/>
      <c r="B145" s="2"/>
      <c r="C145" s="39" t="s">
        <v>53</v>
      </c>
      <c r="D145" s="57" t="s">
        <v>120</v>
      </c>
      <c r="E145" s="57"/>
      <c r="F145" s="57"/>
      <c r="G145" s="57"/>
      <c r="H145" s="57"/>
      <c r="I145" s="57"/>
      <c r="J145" s="57"/>
      <c r="K145" s="57"/>
      <c r="L145" s="57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customFormat="false" ht="14.4" hidden="true" customHeight="false" outlineLevel="1" collapsed="false">
      <c r="A146" s="1"/>
      <c r="B146" s="2"/>
      <c r="C146" s="39" t="s">
        <v>121</v>
      </c>
      <c r="D146" s="57" t="s">
        <v>122</v>
      </c>
      <c r="E146" s="57"/>
      <c r="F146" s="57"/>
      <c r="G146" s="57"/>
      <c r="H146" s="57"/>
      <c r="I146" s="57"/>
      <c r="J146" s="57"/>
      <c r="K146" s="57"/>
      <c r="L146" s="57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customFormat="false" ht="14.4" hidden="true" customHeight="false" outlineLevel="1" collapsed="false">
      <c r="A147" s="1"/>
      <c r="B147" s="2"/>
      <c r="C147" s="39" t="s">
        <v>123</v>
      </c>
      <c r="D147" s="57" t="s">
        <v>124</v>
      </c>
      <c r="E147" s="57"/>
      <c r="F147" s="57"/>
      <c r="G147" s="57"/>
      <c r="H147" s="57"/>
      <c r="I147" s="57"/>
      <c r="J147" s="57"/>
      <c r="K147" s="57"/>
      <c r="L147" s="57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customFormat="false" ht="9.75" hidden="false" customHeight="true" outlineLevel="0" collapsed="false">
      <c r="A148" s="1"/>
      <c r="B148" s="2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customFormat="false" ht="50.25" hidden="false" customHeight="true" outlineLevel="0" collapsed="false">
      <c r="A149" s="1"/>
      <c r="B149" s="2"/>
      <c r="C149" s="28" t="s">
        <v>29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3"/>
      <c r="N149" s="6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customFormat="false" ht="10.5" hidden="false" customHeight="true" outlineLevel="0" collapsed="false">
      <c r="A150" s="1"/>
      <c r="B150" s="2"/>
      <c r="M150" s="3"/>
      <c r="N150" s="6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customFormat="false" ht="23.4" hidden="false" customHeight="false" outlineLevel="0" collapsed="false">
      <c r="A151" s="1"/>
      <c r="B151" s="2"/>
      <c r="D151" s="63" t="s">
        <v>125</v>
      </c>
      <c r="J151" s="17" t="s">
        <v>15</v>
      </c>
      <c r="K151" s="18" t="n">
        <v>2</v>
      </c>
      <c r="L151" s="18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customFormat="false" ht="3.75" hidden="false" customHeight="true" outlineLevel="0" collapsed="false">
      <c r="A152" s="1"/>
      <c r="B152" s="2"/>
      <c r="J152" s="17"/>
      <c r="K152" s="64"/>
      <c r="L152" s="64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customFormat="false" ht="23.4" hidden="false" customHeight="false" outlineLevel="0" collapsed="false">
      <c r="A153" s="1"/>
      <c r="B153" s="2"/>
      <c r="D153" s="65" t="s">
        <v>126</v>
      </c>
      <c r="J153" s="17" t="s">
        <v>16</v>
      </c>
      <c r="K153" s="22" t="n">
        <v>1</v>
      </c>
      <c r="L153" s="22"/>
      <c r="M153" s="3"/>
      <c r="N153" s="1"/>
      <c r="O153" s="1"/>
      <c r="P153" s="1" t="n">
        <v>0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customFormat="false" ht="21" hidden="false" customHeight="true" outlineLevel="0" collapsed="false">
      <c r="A154" s="1"/>
      <c r="B154" s="66"/>
      <c r="C154" s="24" t="s">
        <v>17</v>
      </c>
      <c r="D154" s="67"/>
      <c r="E154" s="67"/>
      <c r="F154" s="67"/>
      <c r="G154" s="67"/>
      <c r="H154" s="67"/>
      <c r="I154" s="67"/>
      <c r="J154" s="67"/>
      <c r="K154" s="67"/>
      <c r="L154" s="67"/>
      <c r="M154" s="3"/>
      <c r="N154" s="1"/>
      <c r="O154" s="1"/>
      <c r="P154" s="1" t="n">
        <v>1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customFormat="false" ht="21" hidden="false" customHeight="true" outlineLevel="0" collapsed="false">
      <c r="A155" s="1"/>
      <c r="B155" s="66"/>
      <c r="C155" s="24" t="s">
        <v>19</v>
      </c>
      <c r="D155" s="67"/>
      <c r="E155" s="67"/>
      <c r="F155" s="67"/>
      <c r="G155" s="67"/>
      <c r="H155" s="67"/>
      <c r="I155" s="67"/>
      <c r="J155" s="67"/>
      <c r="K155" s="67"/>
      <c r="L155" s="67"/>
      <c r="M155" s="3"/>
      <c r="N155" s="1"/>
      <c r="O155" s="1"/>
      <c r="P155" s="1" t="n">
        <v>2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customFormat="false" ht="21" hidden="false" customHeight="true" outlineLevel="0" collapsed="false">
      <c r="A156" s="1"/>
      <c r="B156" s="66"/>
      <c r="C156" s="24" t="s">
        <v>21</v>
      </c>
      <c r="D156" s="67"/>
      <c r="E156" s="67"/>
      <c r="F156" s="67"/>
      <c r="G156" s="67"/>
      <c r="H156" s="67"/>
      <c r="I156" s="67"/>
      <c r="J156" s="67"/>
      <c r="K156" s="67"/>
      <c r="L156" s="67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customFormat="false" ht="21" hidden="false" customHeight="true" outlineLevel="0" collapsed="false">
      <c r="A157" s="1"/>
      <c r="B157" s="66"/>
      <c r="C157" s="24" t="s">
        <v>23</v>
      </c>
      <c r="D157" s="67"/>
      <c r="E157" s="67"/>
      <c r="F157" s="67"/>
      <c r="G157" s="67"/>
      <c r="H157" s="67"/>
      <c r="I157" s="67"/>
      <c r="J157" s="67"/>
      <c r="K157" s="67"/>
      <c r="L157" s="67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customFormat="false" ht="14.4" hidden="false" customHeight="false" outlineLevel="0" collapsed="false">
      <c r="A158" s="1"/>
      <c r="B158" s="2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customFormat="false" ht="15" hidden="false" customHeight="true" outlineLevel="0" collapsed="false">
      <c r="A159" s="1"/>
      <c r="B159" s="2"/>
      <c r="C159" s="68" t="s">
        <v>127</v>
      </c>
      <c r="M159" s="3"/>
      <c r="N159" s="1"/>
      <c r="O159" s="1"/>
      <c r="P159" s="69"/>
      <c r="Q159" s="69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customFormat="false" ht="15" hidden="false" customHeight="true" outlineLevel="0" collapsed="false">
      <c r="A160" s="1"/>
      <c r="B160" s="2"/>
      <c r="C160" s="68" t="s">
        <v>128</v>
      </c>
      <c r="M160" s="3"/>
      <c r="N160" s="1"/>
      <c r="O160" s="1"/>
      <c r="P160" s="69"/>
      <c r="Q160" s="69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customFormat="false" ht="15" hidden="false" customHeight="true" outlineLevel="0" collapsed="false">
      <c r="A161" s="1"/>
      <c r="B161" s="2"/>
      <c r="C161" s="30" t="s">
        <v>129</v>
      </c>
      <c r="M161" s="3"/>
      <c r="N161" s="1"/>
      <c r="O161" s="1"/>
      <c r="P161" s="69"/>
      <c r="Q161" s="69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customFormat="false" ht="23.25" hidden="false" customHeight="true" outlineLevel="0" collapsed="false">
      <c r="A162" s="1"/>
      <c r="B162" s="2"/>
      <c r="C162" s="70" t="s">
        <v>130</v>
      </c>
      <c r="D162" s="70"/>
      <c r="E162" s="70"/>
      <c r="F162" s="70"/>
      <c r="G162" s="70"/>
      <c r="H162" s="70"/>
      <c r="I162" s="70"/>
      <c r="J162" s="70"/>
      <c r="K162" s="70"/>
      <c r="L162" s="70"/>
      <c r="M162" s="3"/>
      <c r="N162" s="1"/>
      <c r="O162" s="1"/>
      <c r="P162" s="69"/>
      <c r="Q162" s="69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customFormat="false" ht="25.5" hidden="false" customHeight="true" outlineLevel="0" collapsed="false">
      <c r="A163" s="1"/>
      <c r="B163" s="2"/>
      <c r="C163" s="70" t="s">
        <v>131</v>
      </c>
      <c r="D163" s="70"/>
      <c r="E163" s="70"/>
      <c r="F163" s="70"/>
      <c r="G163" s="70"/>
      <c r="H163" s="70"/>
      <c r="I163" s="70"/>
      <c r="J163" s="70"/>
      <c r="K163" s="70"/>
      <c r="L163" s="70"/>
      <c r="M163" s="3"/>
      <c r="N163" s="1"/>
      <c r="O163" s="1"/>
      <c r="P163" s="69"/>
      <c r="Q163" s="69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customFormat="false" ht="18.75" hidden="false" customHeight="true" outlineLevel="0" collapsed="false">
      <c r="A164" s="1"/>
      <c r="B164" s="2"/>
      <c r="C164" s="13"/>
      <c r="D164" s="52" t="s">
        <v>132</v>
      </c>
      <c r="M164" s="3"/>
      <c r="N164" s="1"/>
      <c r="O164" s="1"/>
      <c r="P164" s="69"/>
      <c r="Q164" s="69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customFormat="false" ht="82.5" hidden="false" customHeight="true" outlineLevel="0" collapsed="false">
      <c r="A165" s="1"/>
      <c r="B165" s="2"/>
      <c r="C165" s="28" t="s">
        <v>29</v>
      </c>
      <c r="D165" s="28"/>
      <c r="E165" s="28"/>
      <c r="F165" s="28"/>
      <c r="G165" s="28"/>
      <c r="H165" s="28"/>
      <c r="I165" s="28"/>
      <c r="J165" s="28"/>
      <c r="K165" s="28"/>
      <c r="L165" s="28"/>
      <c r="M165" s="3"/>
      <c r="N165" s="1"/>
      <c r="O165" s="1"/>
      <c r="P165" s="69"/>
      <c r="Q165" s="69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customFormat="false" ht="9" hidden="false" customHeight="true" outlineLevel="0" collapsed="false">
      <c r="A166" s="1"/>
      <c r="B166" s="2"/>
      <c r="M166" s="3"/>
      <c r="N166" s="1"/>
      <c r="O166" s="1"/>
      <c r="P166" s="69"/>
      <c r="Q166" s="69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customFormat="false" ht="25.5" hidden="false" customHeight="true" outlineLevel="0" collapsed="false">
      <c r="A167" s="1"/>
      <c r="B167" s="2"/>
      <c r="C167" s="13"/>
      <c r="D167" s="52" t="s">
        <v>133</v>
      </c>
      <c r="I167" s="71" t="s">
        <v>6</v>
      </c>
      <c r="J167" s="72" t="n">
        <v>1</v>
      </c>
      <c r="K167" s="73" t="s">
        <v>134</v>
      </c>
      <c r="L167" s="74" t="n">
        <f aca="false">VLOOKUP(K167,Q180:R184,2,0)</f>
        <v>3</v>
      </c>
      <c r="M167" s="3"/>
      <c r="N167" s="1"/>
      <c r="O167" s="1"/>
      <c r="P167" s="69"/>
      <c r="Q167" s="69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customFormat="false" ht="22.5" hidden="false" customHeight="true" outlineLevel="0" collapsed="false">
      <c r="A168" s="1"/>
      <c r="B168" s="2"/>
      <c r="C168" s="13"/>
      <c r="D168" s="75"/>
      <c r="I168" s="76" t="s">
        <v>135</v>
      </c>
      <c r="J168" s="76" t="s">
        <v>136</v>
      </c>
      <c r="K168" s="77" t="s">
        <v>137</v>
      </c>
      <c r="L168" s="77"/>
      <c r="M168" s="3"/>
      <c r="N168" s="1"/>
      <c r="O168" s="1"/>
      <c r="P168" s="69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customFormat="false" ht="4.5" hidden="false" customHeight="true" outlineLevel="0" collapsed="false">
      <c r="A169" s="1"/>
      <c r="B169" s="2"/>
      <c r="C169" s="13"/>
      <c r="D169" s="75"/>
      <c r="M169" s="3"/>
      <c r="N169" s="1"/>
      <c r="O169" s="1"/>
      <c r="P169" s="69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customFormat="false" ht="15" hidden="false" customHeight="true" outlineLevel="0" collapsed="false">
      <c r="A170" s="1"/>
      <c r="B170" s="2"/>
      <c r="C170" s="13"/>
      <c r="M170" s="3"/>
      <c r="N170" s="1"/>
      <c r="O170" s="1"/>
      <c r="P170" s="69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customFormat="false" ht="33.75" hidden="false" customHeight="true" outlineLevel="0" collapsed="false">
      <c r="A171" s="1"/>
      <c r="B171" s="2"/>
      <c r="C171" s="13"/>
      <c r="D171" s="8"/>
      <c r="E171" s="78"/>
      <c r="F171" s="79" t="s">
        <v>138</v>
      </c>
      <c r="G171" s="79"/>
      <c r="H171" s="79"/>
      <c r="I171" s="79"/>
      <c r="J171" s="79"/>
      <c r="K171" s="79"/>
      <c r="M171" s="3"/>
      <c r="N171" s="1"/>
      <c r="O171" s="1"/>
      <c r="P171" s="69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customFormat="false" ht="33.75" hidden="false" customHeight="true" outlineLevel="0" collapsed="false">
      <c r="A172" s="1"/>
      <c r="B172" s="2"/>
      <c r="C172" s="80" t="s">
        <v>135</v>
      </c>
      <c r="D172" s="81"/>
      <c r="E172" s="81"/>
      <c r="F172" s="82" t="s">
        <v>139</v>
      </c>
      <c r="G172" s="82"/>
      <c r="H172" s="82" t="s">
        <v>140</v>
      </c>
      <c r="I172" s="82"/>
      <c r="J172" s="82" t="s">
        <v>141</v>
      </c>
      <c r="K172" s="82"/>
      <c r="L172" s="83"/>
      <c r="M172" s="3"/>
      <c r="N172" s="1"/>
      <c r="O172" s="1"/>
      <c r="P172" s="69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customFormat="false" ht="18.75" hidden="false" customHeight="true" outlineLevel="0" collapsed="false">
      <c r="A173" s="1"/>
      <c r="B173" s="2"/>
      <c r="C173" s="80"/>
      <c r="D173" s="84" t="s">
        <v>142</v>
      </c>
      <c r="E173" s="84"/>
      <c r="F173" s="85" t="str">
        <f aca="false">IF($I$167&amp;$J$167="a0","•","")</f>
        <v/>
      </c>
      <c r="G173" s="85"/>
      <c r="H173" s="86" t="str">
        <f aca="false">IF($I$167&amp;$J$167="a1","•","")</f>
        <v/>
      </c>
      <c r="I173" s="86"/>
      <c r="J173" s="87" t="str">
        <f aca="false">IF($I$167&amp;$J$167="a2","•","")</f>
        <v/>
      </c>
      <c r="K173" s="87"/>
      <c r="L173" s="83"/>
      <c r="M173" s="3"/>
      <c r="N173" s="1"/>
      <c r="O173" s="1"/>
      <c r="P173" s="69"/>
      <c r="Q173" s="1"/>
      <c r="R173" s="1"/>
      <c r="S173" s="88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customFormat="false" ht="19.5" hidden="false" customHeight="true" outlineLevel="0" collapsed="false">
      <c r="A174" s="1"/>
      <c r="B174" s="2"/>
      <c r="C174" s="80"/>
      <c r="D174" s="84" t="s">
        <v>143</v>
      </c>
      <c r="E174" s="84"/>
      <c r="F174" s="89" t="str">
        <f aca="false">IF($I$167&amp;$J$167="b0","•","")</f>
        <v/>
      </c>
      <c r="G174" s="89"/>
      <c r="H174" s="90" t="str">
        <f aca="false">IF($I$167&amp;$J$167="b1","•","")</f>
        <v>•</v>
      </c>
      <c r="I174" s="90"/>
      <c r="J174" s="91" t="str">
        <f aca="false">IF($I$167&amp;$J$167="b2","•","")</f>
        <v/>
      </c>
      <c r="K174" s="91"/>
      <c r="L174" s="83"/>
      <c r="M174" s="3"/>
      <c r="N174" s="1"/>
      <c r="O174" s="1"/>
      <c r="P174" s="69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customFormat="false" ht="19.5" hidden="false" customHeight="true" outlineLevel="0" collapsed="false">
      <c r="A175" s="1"/>
      <c r="B175" s="2"/>
      <c r="C175" s="80"/>
      <c r="D175" s="84" t="s">
        <v>144</v>
      </c>
      <c r="E175" s="84"/>
      <c r="F175" s="89" t="str">
        <f aca="false">IF($I$167&amp;$J$167="c0","•","")</f>
        <v/>
      </c>
      <c r="G175" s="89"/>
      <c r="H175" s="90" t="str">
        <f aca="false">IF($I$167&amp;$J$167="c1","•","")</f>
        <v/>
      </c>
      <c r="I175" s="90"/>
      <c r="J175" s="92" t="str">
        <f aca="false">IF($I$167&amp;$J$167="c2","•","")</f>
        <v/>
      </c>
      <c r="K175" s="92"/>
      <c r="L175" s="83"/>
      <c r="M175" s="3"/>
      <c r="N175" s="1"/>
      <c r="O175" s="1"/>
      <c r="P175" s="69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customFormat="false" ht="19.5" hidden="false" customHeight="true" outlineLevel="0" collapsed="false">
      <c r="A176" s="1"/>
      <c r="B176" s="2"/>
      <c r="C176" s="80"/>
      <c r="D176" s="84" t="s">
        <v>145</v>
      </c>
      <c r="E176" s="84"/>
      <c r="F176" s="93" t="str">
        <f aca="false">IF($I$167&amp;$J$167="d0","•","")</f>
        <v/>
      </c>
      <c r="G176" s="93"/>
      <c r="H176" s="94" t="str">
        <f aca="false">IF($I$167&amp;$J$167="d1","•","")</f>
        <v/>
      </c>
      <c r="I176" s="94"/>
      <c r="J176" s="95" t="str">
        <f aca="false">IF($I$167&amp;$J$167="d2","•","")</f>
        <v/>
      </c>
      <c r="K176" s="95"/>
      <c r="L176" s="83"/>
      <c r="M176" s="3"/>
      <c r="N176" s="1"/>
      <c r="O176" s="1"/>
      <c r="P176" s="69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customFormat="false" ht="19.5" hidden="false" customHeight="true" outlineLevel="0" collapsed="false">
      <c r="A177" s="1"/>
      <c r="B177" s="2"/>
      <c r="C177" s="13"/>
      <c r="D177" s="8"/>
      <c r="E177" s="83"/>
      <c r="M177" s="3"/>
      <c r="N177" s="1"/>
      <c r="O177" s="1"/>
      <c r="P177" s="69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customFormat="false" ht="20.25" hidden="false" customHeight="true" outlineLevel="0" collapsed="false">
      <c r="A178" s="1"/>
      <c r="B178" s="2"/>
      <c r="C178" s="13"/>
      <c r="D178" s="13"/>
      <c r="E178" s="96"/>
      <c r="M178" s="3"/>
      <c r="N178" s="1"/>
      <c r="O178" s="1"/>
      <c r="P178" s="69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customFormat="false" ht="14.4" hidden="false" customHeight="false" outlineLevel="0" collapsed="false">
      <c r="A179" s="1"/>
      <c r="B179" s="2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customFormat="false" ht="14.4" hidden="false" customHeight="false" outlineLevel="0" collapsed="false">
      <c r="A180" s="1"/>
      <c r="B180" s="2"/>
      <c r="M180" s="3"/>
      <c r="N180" s="1"/>
      <c r="O180" s="1"/>
      <c r="P180" s="1"/>
      <c r="Q180" s="1" t="s">
        <v>146</v>
      </c>
      <c r="R180" s="1" t="n">
        <v>2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customFormat="false" ht="14.4" hidden="false" customHeight="false" outlineLevel="0" collapsed="false">
      <c r="A181" s="1"/>
      <c r="B181" s="2"/>
      <c r="M181" s="97"/>
      <c r="N181" s="1"/>
      <c r="O181" s="1"/>
      <c r="P181" s="1"/>
      <c r="Q181" s="1" t="s">
        <v>147</v>
      </c>
      <c r="R181" s="1" t="n">
        <v>1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customFormat="false" ht="14.4" hidden="false" customHeight="false" outlineLevel="0" collapsed="false">
      <c r="A182" s="1"/>
      <c r="B182" s="2"/>
      <c r="M182" s="3"/>
      <c r="N182" s="1"/>
      <c r="O182" s="1"/>
      <c r="P182" s="1"/>
      <c r="Q182" s="1" t="s">
        <v>148</v>
      </c>
      <c r="R182" s="1" t="n">
        <v>2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customFormat="false" ht="14.4" hidden="false" customHeight="false" outlineLevel="0" collapsed="false">
      <c r="A183" s="1"/>
      <c r="B183" s="2"/>
      <c r="E183" s="7"/>
      <c r="F183" s="7"/>
      <c r="I183" s="7"/>
      <c r="J183" s="7"/>
      <c r="M183" s="3"/>
      <c r="N183" s="1"/>
      <c r="O183" s="1"/>
      <c r="P183" s="1"/>
      <c r="Q183" s="1" t="s">
        <v>134</v>
      </c>
      <c r="R183" s="1" t="n">
        <v>3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customFormat="false" ht="14.4" hidden="false" customHeight="false" outlineLevel="0" collapsed="false">
      <c r="A184" s="1"/>
      <c r="B184" s="2"/>
      <c r="E184" s="98" t="s">
        <v>149</v>
      </c>
      <c r="F184" s="98"/>
      <c r="I184" s="98" t="s">
        <v>150</v>
      </c>
      <c r="J184" s="98"/>
      <c r="M184" s="3"/>
      <c r="N184" s="1"/>
      <c r="O184" s="1"/>
      <c r="P184" s="1"/>
      <c r="Q184" s="1" t="s">
        <v>151</v>
      </c>
      <c r="R184" s="1" t="n">
        <v>4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customFormat="false" ht="14.4" hidden="false" customHeight="false" outlineLevel="0" collapsed="false">
      <c r="A185" s="1"/>
      <c r="B185" s="2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customFormat="false" ht="14.4" hidden="false" customHeight="false" outlineLevel="0" collapsed="false">
      <c r="A186" s="1"/>
      <c r="B186" s="99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customFormat="false" ht="14.4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customFormat="false" ht="14.4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customFormat="false" ht="14.4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customFormat="false" ht="14.4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customFormat="false" ht="14.4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customFormat="false" ht="14.4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customFormat="false" ht="14.4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customFormat="false" ht="14.4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customFormat="false" ht="14.4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customFormat="false" ht="14.4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customFormat="false" ht="14.4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customFormat="false" ht="14.4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customFormat="false" ht="14.4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customFormat="false" ht="14.4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customFormat="false" ht="14.4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customFormat="false" ht="14.4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customFormat="false" ht="14.4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customFormat="false" ht="14.4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customFormat="false" ht="14.4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customFormat="false" ht="14.4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customFormat="false" ht="14.4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customFormat="false" ht="14.4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customFormat="false" ht="14.4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customFormat="false" ht="14.4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customFormat="false" ht="14.4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customFormat="false" ht="14.4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customFormat="false" ht="14.4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customFormat="false" ht="14.4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customFormat="false" ht="14.4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customFormat="false" ht="14.4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customFormat="false" ht="14.4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</sheetData>
  <mergeCells count="45">
    <mergeCell ref="K15:L15"/>
    <mergeCell ref="K17:L17"/>
    <mergeCell ref="C24:L24"/>
    <mergeCell ref="K27:L27"/>
    <mergeCell ref="K29:L29"/>
    <mergeCell ref="R37:S37"/>
    <mergeCell ref="C61:L61"/>
    <mergeCell ref="K63:L63"/>
    <mergeCell ref="K65:L65"/>
    <mergeCell ref="R65:S65"/>
    <mergeCell ref="R85:S85"/>
    <mergeCell ref="C149:L149"/>
    <mergeCell ref="K151:L151"/>
    <mergeCell ref="K153:L153"/>
    <mergeCell ref="D154:L154"/>
    <mergeCell ref="D155:L155"/>
    <mergeCell ref="D156:L156"/>
    <mergeCell ref="D157:L157"/>
    <mergeCell ref="C162:L162"/>
    <mergeCell ref="C163:L163"/>
    <mergeCell ref="C165:L165"/>
    <mergeCell ref="K168:L168"/>
    <mergeCell ref="F171:K171"/>
    <mergeCell ref="C172:C176"/>
    <mergeCell ref="F172:G172"/>
    <mergeCell ref="H172:I172"/>
    <mergeCell ref="J172:K172"/>
    <mergeCell ref="D173:E173"/>
    <mergeCell ref="F173:G173"/>
    <mergeCell ref="H173:I173"/>
    <mergeCell ref="J173:K173"/>
    <mergeCell ref="D174:E174"/>
    <mergeCell ref="F174:G174"/>
    <mergeCell ref="H174:I174"/>
    <mergeCell ref="J174:K174"/>
    <mergeCell ref="D175:E175"/>
    <mergeCell ref="F175:G175"/>
    <mergeCell ref="H175:I175"/>
    <mergeCell ref="J175:K175"/>
    <mergeCell ref="D176:E176"/>
    <mergeCell ref="F176:G176"/>
    <mergeCell ref="H176:I176"/>
    <mergeCell ref="J176:K176"/>
    <mergeCell ref="E184:F184"/>
    <mergeCell ref="I184:J184"/>
  </mergeCells>
  <dataValidations count="5">
    <dataValidation allowBlank="true" operator="between" showDropDown="false" showErrorMessage="true" showInputMessage="true" sqref="K167" type="list">
      <formula1>$Q$180:$Q$184</formula1>
      <formula2>0</formula2>
    </dataValidation>
    <dataValidation allowBlank="true" operator="between" showDropDown="false" showErrorMessage="true" showInputMessage="true" sqref="K30:L30" type="list">
      <formula1>$P$8:$P$10</formula1>
      <formula2>0</formula2>
    </dataValidation>
    <dataValidation allowBlank="true" operator="between" showDropDown="false" showErrorMessage="true" showInputMessage="true" sqref="K151:L151 K153:L153" type="list">
      <formula1>$P$153:$P$155</formula1>
      <formula2>0</formula2>
    </dataValidation>
    <dataValidation allowBlank="true" operator="between" showDropDown="false" showErrorMessage="true" showInputMessage="true" sqref="J167" type="list">
      <formula1>$P$151:$P$155</formula1>
      <formula2>0</formula2>
    </dataValidation>
    <dataValidation allowBlank="true" operator="between" showDropDown="false" showErrorMessage="true" showInputMessage="true" sqref="K15:L15 K17:L17 K27:L27 K29:L29 K31:L35 K37:L41 K43:L47 K49:L53 K55:L59 K63:L63 K65:L86 K88:L95 K98:L106 K108:L116 K118:L126 K128:L136 K138:L147 I167" type="list">
      <formula1>$P$8:$P$11</formula1>
      <formula2>0</formula2>
    </dataValidation>
  </dataValidations>
  <printOptions headings="false" gridLines="false" gridLinesSet="true" horizontalCentered="true" verticalCentered="true"/>
  <pageMargins left="0.7" right="0.7" top="0.75" bottom="0.75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583C979-1F7E-4FC5-A748-2E4C4D5134E0}">
            <x14:iconSet iconSet="5Arrows" custom="1" reverse="0" showValue="0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Icon iconSet="3Arrows" iconId="0"/>
              <x14:cfIcon iconSet="3Arrows" iconId="0"/>
              <x14:cfIcon iconSet="3Arrows" iconId="1"/>
              <x14:cfIcon iconSet="4Arrows" iconId="2"/>
              <x14:cfIcon iconSet="3Arrows" iconId="2"/>
            </x14:iconSet>
          </x14:cfRule>
          <xm:sqref>L167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J77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P43" activeCellId="0" sqref="P43"/>
    </sheetView>
  </sheetViews>
  <sheetFormatPr defaultRowHeight="14.4" zeroHeight="false" outlineLevelRow="1" outlineLevelCol="0"/>
  <cols>
    <col collapsed="false" customWidth="true" hidden="false" outlineLevel="0" max="2" min="1" style="0" width="8.67"/>
    <col collapsed="false" customWidth="true" hidden="false" outlineLevel="0" max="3" min="3" style="0" width="3.56"/>
    <col collapsed="false" customWidth="true" hidden="false" outlineLevel="0" max="4" min="4" style="0" width="15"/>
    <col collapsed="false" customWidth="true" hidden="false" outlineLevel="0" max="5" min="5" style="0" width="15.44"/>
    <col collapsed="false" customWidth="true" hidden="false" outlineLevel="0" max="6" min="6" style="0" width="1.44"/>
    <col collapsed="false" customWidth="true" hidden="false" outlineLevel="0" max="7" min="7" style="0" width="20.89"/>
    <col collapsed="false" customWidth="true" hidden="false" outlineLevel="0" max="8" min="8" style="0" width="1.33"/>
    <col collapsed="false" customWidth="true" hidden="false" outlineLevel="0" max="9" min="9" style="0" width="13.01"/>
    <col collapsed="false" customWidth="true" hidden="false" outlineLevel="0" max="10" min="10" style="0" width="10.56"/>
    <col collapsed="false" customWidth="true" hidden="false" outlineLevel="0" max="11" min="11" style="0" width="10.11"/>
    <col collapsed="false" customWidth="true" hidden="false" outlineLevel="0" max="12" min="12" style="0" width="17.33"/>
    <col collapsed="false" customWidth="true" hidden="false" outlineLevel="0" max="13" min="13" style="0" width="3.56"/>
    <col collapsed="false" customWidth="true" hidden="false" outlineLevel="0" max="16" min="14" style="0" width="8.67"/>
    <col collapsed="false" customWidth="true" hidden="true" outlineLevel="0" max="17" min="17" style="0" width="86.44"/>
    <col collapsed="false" customWidth="true" hidden="false" outlineLevel="0" max="18" min="18" style="0" width="9.11"/>
    <col collapsed="false" customWidth="true" hidden="false" outlineLevel="0" max="1025" min="19" style="0" width="8.67"/>
  </cols>
  <sheetData>
    <row r="1" customFormat="false" ht="14.4" hidden="false" customHeight="false" outlineLevel="0" collapsed="false">
      <c r="A1" s="102"/>
      <c r="B1" s="8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38.25" hidden="false" customHeight="true" outlineLevel="0" collapsed="false">
      <c r="A2" s="102"/>
      <c r="B2" s="8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customFormat="false" ht="14.4" hidden="false" customHeight="false" outlineLevel="0" collapsed="false">
      <c r="A3" s="102"/>
      <c r="B3" s="8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customFormat="false" ht="14.4" hidden="false" customHeight="false" outlineLevel="0" collapsed="false">
      <c r="A4" s="102"/>
      <c r="B4" s="83"/>
      <c r="E4" s="103" t="s">
        <v>152</v>
      </c>
      <c r="F4" s="5"/>
      <c r="G4" s="104" t="s">
        <v>0</v>
      </c>
      <c r="I4" s="105" t="s">
        <v>153</v>
      </c>
      <c r="J4" s="6"/>
      <c r="K4" s="6"/>
      <c r="L4" s="6"/>
      <c r="N4" s="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customFormat="false" ht="14.4" hidden="false" customHeight="false" outlineLevel="0" collapsed="false">
      <c r="A5" s="102"/>
      <c r="B5" s="83"/>
      <c r="E5" s="106" t="s">
        <v>154</v>
      </c>
      <c r="F5" s="5"/>
      <c r="G5" s="104" t="s">
        <v>2</v>
      </c>
      <c r="I5" s="107" t="s">
        <v>155</v>
      </c>
      <c r="J5" s="107"/>
      <c r="K5" s="107"/>
      <c r="L5" s="107"/>
      <c r="N5" s="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customFormat="false" ht="14.4" hidden="false" customHeight="false" outlineLevel="0" collapsed="false">
      <c r="A6" s="102"/>
      <c r="B6" s="83"/>
      <c r="E6" s="103" t="s">
        <v>156</v>
      </c>
      <c r="F6" s="5"/>
      <c r="G6" s="104" t="s">
        <v>3</v>
      </c>
      <c r="I6" s="105" t="s">
        <v>157</v>
      </c>
      <c r="J6" s="6"/>
      <c r="K6" s="6"/>
      <c r="L6" s="6"/>
      <c r="N6" s="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customFormat="false" ht="14.4" hidden="false" customHeight="false" outlineLevel="0" collapsed="false">
      <c r="A7" s="102"/>
      <c r="B7" s="83"/>
      <c r="E7" s="108" t="n">
        <f aca="true">TODAY()</f>
        <v>43303</v>
      </c>
      <c r="F7" s="5"/>
      <c r="G7" s="104" t="s">
        <v>4</v>
      </c>
      <c r="I7" s="105" t="s">
        <v>158</v>
      </c>
      <c r="J7" s="6"/>
      <c r="K7" s="6"/>
      <c r="L7" s="6"/>
      <c r="N7" s="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customFormat="false" ht="14.4" hidden="false" customHeight="false" outlineLevel="0" collapsed="false">
      <c r="A8" s="102"/>
      <c r="B8" s="109"/>
      <c r="I8" s="110"/>
      <c r="K8" s="111"/>
      <c r="L8" s="112"/>
      <c r="M8" s="112"/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customFormat="false" ht="34.5" hidden="false" customHeight="true" outlineLevel="0" collapsed="false">
      <c r="A9" s="102"/>
      <c r="B9" s="83"/>
      <c r="C9" s="113" t="s">
        <v>17</v>
      </c>
      <c r="D9" s="114" t="s">
        <v>159</v>
      </c>
      <c r="E9" s="114"/>
      <c r="F9" s="114"/>
      <c r="G9" s="114"/>
      <c r="H9" s="114"/>
      <c r="I9" s="114"/>
      <c r="J9" s="114"/>
      <c r="K9" s="114"/>
      <c r="L9" s="11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customFormat="false" ht="14.4" hidden="false" customHeight="false" outlineLevel="0" collapsed="false">
      <c r="A10" s="1"/>
      <c r="D10" s="6" t="s">
        <v>160</v>
      </c>
      <c r="E10" s="6"/>
      <c r="F10" s="6"/>
      <c r="G10" s="6"/>
      <c r="H10" s="6"/>
      <c r="I10" s="6"/>
      <c r="J10" s="6"/>
      <c r="K10" s="115"/>
      <c r="L10" s="11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customFormat="false" ht="15" hidden="false" customHeight="true" outlineLevel="0" collapsed="false">
      <c r="A11" s="1"/>
      <c r="D11" s="116" t="s">
        <v>161</v>
      </c>
      <c r="E11" s="115"/>
      <c r="F11" s="115"/>
      <c r="G11" s="115"/>
      <c r="H11" s="115"/>
      <c r="I11" s="115"/>
      <c r="J11" s="115"/>
      <c r="K11" s="115"/>
      <c r="L11" s="11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customFormat="false" ht="15" hidden="false" customHeight="true" outlineLevel="0" collapsed="false">
      <c r="A12" s="1"/>
      <c r="D12" s="6" t="s">
        <v>162</v>
      </c>
      <c r="E12" s="6"/>
      <c r="F12" s="6"/>
      <c r="G12" s="6"/>
      <c r="H12" s="6"/>
      <c r="I12" s="6"/>
      <c r="J12" s="6"/>
      <c r="K12" s="6"/>
      <c r="L12" s="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customFormat="false" ht="13.8" hidden="false" customHeight="false" outlineLevel="0" collapsed="false">
      <c r="A13" s="1"/>
      <c r="E13" s="6" t="s">
        <v>163</v>
      </c>
      <c r="F13" s="6"/>
      <c r="G13" s="6"/>
      <c r="H13" s="6"/>
      <c r="I13" s="6"/>
      <c r="J13" s="6"/>
      <c r="K13" s="6"/>
      <c r="L13" s="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customFormat="false" ht="13.8" hidden="false" customHeight="false" outlineLevel="0" collapsed="false">
      <c r="A14" s="1"/>
      <c r="D14" s="117"/>
      <c r="E14" s="6"/>
      <c r="F14" s="6"/>
      <c r="G14" s="6"/>
      <c r="H14" s="6"/>
      <c r="I14" s="6"/>
      <c r="J14" s="6"/>
      <c r="K14" s="6"/>
      <c r="L14" s="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customFormat="false" ht="14.4" hidden="false" customHeight="false" outlineLevel="0" collapsed="false">
      <c r="A15" s="1"/>
      <c r="D15" s="117"/>
      <c r="E15" s="6"/>
      <c r="F15" s="6"/>
      <c r="G15" s="6"/>
      <c r="H15" s="6"/>
      <c r="I15" s="6"/>
      <c r="J15" s="6"/>
      <c r="K15" s="6"/>
      <c r="L15" s="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customFormat="false" ht="14.4" hidden="false" customHeight="false" outlineLevel="0" collapsed="false">
      <c r="A16" s="1"/>
      <c r="D16" s="117"/>
      <c r="E16" s="6"/>
      <c r="F16" s="6"/>
      <c r="G16" s="6"/>
      <c r="H16" s="6"/>
      <c r="I16" s="6"/>
      <c r="J16" s="6"/>
      <c r="K16" s="6"/>
      <c r="L16" s="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customFormat="false" ht="14.4" hidden="false" customHeight="false" outlineLevel="0" collapsed="false">
      <c r="A17" s="1"/>
      <c r="D17" s="117"/>
      <c r="E17" s="6"/>
      <c r="F17" s="6"/>
      <c r="G17" s="6"/>
      <c r="H17" s="6"/>
      <c r="I17" s="6"/>
      <c r="J17" s="6"/>
      <c r="K17" s="6"/>
      <c r="L17" s="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customFormat="false" ht="14.4" hidden="false" customHeight="false" outlineLevel="0" collapsed="false">
      <c r="A18" s="1"/>
      <c r="D18" s="117"/>
      <c r="E18" s="6"/>
      <c r="F18" s="6"/>
      <c r="G18" s="6"/>
      <c r="H18" s="6"/>
      <c r="I18" s="6"/>
      <c r="J18" s="6"/>
      <c r="K18" s="6"/>
      <c r="L18" s="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customFormat="false" ht="14.4" hidden="false" customHeight="false" outlineLevel="0" collapsed="false">
      <c r="A19" s="1"/>
      <c r="D19" s="8"/>
      <c r="E19" s="8"/>
      <c r="F19" s="8"/>
      <c r="G19" s="8"/>
      <c r="H19" s="8"/>
      <c r="I19" s="8"/>
      <c r="J19" s="8"/>
      <c r="K19" s="8"/>
      <c r="L19" s="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customFormat="false" ht="31.5" hidden="false" customHeight="true" outlineLevel="0" collapsed="false">
      <c r="A20" s="1"/>
      <c r="C20" s="113" t="s">
        <v>19</v>
      </c>
      <c r="D20" s="114" t="s">
        <v>164</v>
      </c>
      <c r="E20" s="114"/>
      <c r="F20" s="114"/>
      <c r="G20" s="114"/>
      <c r="H20" s="114"/>
      <c r="I20" s="114"/>
      <c r="J20" s="114"/>
      <c r="K20" s="114"/>
      <c r="L20" s="11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customFormat="false" ht="14.4" hidden="false" customHeight="false" outlineLevel="0" collapsed="false">
      <c r="A21" s="1"/>
      <c r="D21" s="6"/>
      <c r="E21" s="6"/>
      <c r="F21" s="6"/>
      <c r="G21" s="6"/>
      <c r="H21" s="6"/>
      <c r="I21" s="6"/>
      <c r="J21" s="6"/>
      <c r="K21" s="6"/>
      <c r="L21" s="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customFormat="false" ht="22.5" hidden="false" customHeight="true" outlineLevel="0" collapsed="false">
      <c r="A22" s="1"/>
      <c r="D22" s="115" t="s">
        <v>165</v>
      </c>
      <c r="E22" s="115"/>
      <c r="F22" s="115"/>
      <c r="G22" s="115"/>
      <c r="H22" s="115"/>
      <c r="I22" s="115"/>
      <c r="J22" s="115"/>
      <c r="K22" s="115"/>
      <c r="L22" s="11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customFormat="false" ht="14.4" hidden="false" customHeight="false" outlineLevel="0" collapsed="false">
      <c r="A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customFormat="false" ht="13.8" hidden="false" customHeight="false" outlineLevel="0" collapsed="false">
      <c r="A24" s="1"/>
      <c r="D24" s="115"/>
      <c r="E24" s="115"/>
      <c r="F24" s="115"/>
      <c r="G24" s="115"/>
      <c r="H24" s="115"/>
      <c r="I24" s="115"/>
      <c r="J24" s="115"/>
      <c r="K24" s="115"/>
      <c r="L24" s="11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customFormat="false" ht="13.8" hidden="false" customHeight="false" outlineLevel="0" collapsed="false">
      <c r="A25" s="1"/>
      <c r="D25" s="6"/>
      <c r="E25" s="6"/>
      <c r="F25" s="6"/>
      <c r="G25" s="6"/>
      <c r="H25" s="6"/>
      <c r="I25" s="6"/>
      <c r="J25" s="6"/>
      <c r="K25" s="6"/>
      <c r="L25" s="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customFormat="false" ht="14.4" hidden="false" customHeight="false" outlineLevel="0" collapsed="false">
      <c r="A26" s="1"/>
      <c r="D26" s="117"/>
      <c r="E26" s="6"/>
      <c r="F26" s="6"/>
      <c r="G26" s="6"/>
      <c r="H26" s="6"/>
      <c r="I26" s="6"/>
      <c r="J26" s="6"/>
      <c r="K26" s="6"/>
      <c r="L26" s="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customFormat="false" ht="14.4" hidden="false" customHeight="false" outlineLevel="0" collapsed="false">
      <c r="A27" s="1"/>
      <c r="D27" s="117"/>
      <c r="E27" s="6"/>
      <c r="F27" s="6"/>
      <c r="G27" s="6"/>
      <c r="H27" s="6"/>
      <c r="I27" s="6"/>
      <c r="J27" s="6"/>
      <c r="K27" s="6"/>
      <c r="L27" s="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customFormat="false" ht="14.4" hidden="false" customHeight="false" outlineLevel="0" collapsed="false">
      <c r="A28" s="1"/>
      <c r="D28" s="117"/>
      <c r="E28" s="6"/>
      <c r="F28" s="6"/>
      <c r="G28" s="6"/>
      <c r="H28" s="6"/>
      <c r="I28" s="6"/>
      <c r="J28" s="6"/>
      <c r="K28" s="6"/>
      <c r="L28" s="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customFormat="false" ht="14.4" hidden="false" customHeight="false" outlineLevel="0" collapsed="false">
      <c r="A29" s="1"/>
      <c r="D29" s="117"/>
      <c r="E29" s="6"/>
      <c r="F29" s="6"/>
      <c r="G29" s="6"/>
      <c r="H29" s="6"/>
      <c r="I29" s="6"/>
      <c r="J29" s="6"/>
      <c r="K29" s="6"/>
      <c r="L29" s="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customFormat="false" ht="14.4" hidden="false" customHeight="false" outlineLevel="0" collapsed="false">
      <c r="A30" s="1"/>
      <c r="D30" s="8"/>
      <c r="E30" s="8"/>
      <c r="F30" s="8"/>
      <c r="G30" s="8"/>
      <c r="H30" s="8"/>
      <c r="I30" s="8"/>
      <c r="J30" s="8"/>
      <c r="K30" s="8"/>
      <c r="L30" s="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customFormat="false" ht="36" hidden="false" customHeight="true" outlineLevel="1" collapsed="false">
      <c r="A31" s="1"/>
      <c r="B31" s="118"/>
      <c r="C31" s="113" t="s">
        <v>21</v>
      </c>
      <c r="D31" s="119" t="s">
        <v>166</v>
      </c>
      <c r="E31" s="119"/>
      <c r="F31" s="119"/>
      <c r="G31" s="119"/>
      <c r="H31" s="119"/>
      <c r="I31" s="119"/>
      <c r="J31" s="119"/>
      <c r="K31" s="119"/>
      <c r="L31" s="119"/>
      <c r="O31" s="1"/>
      <c r="P31" s="1"/>
      <c r="Q31" s="120" t="s">
        <v>166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customFormat="false" ht="13.8" hidden="false" customHeight="false" outlineLevel="1" collapsed="false">
      <c r="A32" s="1"/>
      <c r="D32" s="6" t="s">
        <v>167</v>
      </c>
      <c r="E32" s="6"/>
      <c r="F32" s="6"/>
      <c r="G32" s="6"/>
      <c r="H32" s="6"/>
      <c r="I32" s="6"/>
      <c r="J32" s="6"/>
      <c r="K32" s="6"/>
      <c r="L32" s="6"/>
      <c r="O32" s="1"/>
      <c r="P32" s="1"/>
      <c r="Q32" s="120" t="s">
        <v>168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customFormat="false" ht="24.75" hidden="false" customHeight="true" outlineLevel="1" collapsed="false">
      <c r="A33" s="1"/>
      <c r="D33" s="115" t="s">
        <v>169</v>
      </c>
      <c r="E33" s="115"/>
      <c r="F33" s="115"/>
      <c r="G33" s="115"/>
      <c r="H33" s="115"/>
      <c r="I33" s="115"/>
      <c r="J33" s="115"/>
      <c r="K33" s="115"/>
      <c r="L33" s="11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customFormat="false" ht="14.4" hidden="false" customHeight="false" outlineLevel="1" collapsed="false">
      <c r="A34" s="1"/>
      <c r="D34" s="6"/>
      <c r="E34" s="6"/>
      <c r="F34" s="6"/>
      <c r="G34" s="6"/>
      <c r="H34" s="6"/>
      <c r="I34" s="6"/>
      <c r="J34" s="6"/>
      <c r="K34" s="6"/>
      <c r="L34" s="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customFormat="false" ht="14.4" hidden="false" customHeight="false" outlineLevel="1" collapsed="false">
      <c r="A35" s="1"/>
      <c r="D35" s="6"/>
      <c r="E35" s="6"/>
      <c r="F35" s="6"/>
      <c r="G35" s="6"/>
      <c r="H35" s="6"/>
      <c r="I35" s="6"/>
      <c r="J35" s="6"/>
      <c r="K35" s="6"/>
      <c r="L35" s="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customFormat="false" ht="14.4" hidden="false" customHeight="false" outlineLevel="0" collapsed="false">
      <c r="A36" s="1"/>
      <c r="D36" s="117"/>
      <c r="E36" s="6"/>
      <c r="F36" s="6"/>
      <c r="G36" s="6"/>
      <c r="H36" s="6"/>
      <c r="I36" s="6"/>
      <c r="J36" s="6"/>
      <c r="K36" s="6"/>
      <c r="L36" s="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customFormat="false" ht="14.4" hidden="false" customHeight="false" outlineLevel="0" collapsed="false">
      <c r="A37" s="1"/>
      <c r="D37" s="117"/>
      <c r="E37" s="6"/>
      <c r="F37" s="6"/>
      <c r="G37" s="6"/>
      <c r="H37" s="6"/>
      <c r="I37" s="6"/>
      <c r="J37" s="6"/>
      <c r="K37" s="6"/>
      <c r="L37" s="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customFormat="false" ht="14.4" hidden="false" customHeight="false" outlineLevel="0" collapsed="false">
      <c r="A38" s="1"/>
      <c r="D38" s="117"/>
      <c r="E38" s="6"/>
      <c r="F38" s="6"/>
      <c r="G38" s="6"/>
      <c r="H38" s="6"/>
      <c r="I38" s="6"/>
      <c r="J38" s="6"/>
      <c r="K38" s="6"/>
      <c r="L38" s="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customFormat="false" ht="14.4" hidden="false" customHeight="false" outlineLevel="0" collapsed="false">
      <c r="A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customFormat="false" ht="14.4" hidden="false" customHeight="false" outlineLevel="0" collapsed="false">
      <c r="A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customFormat="false" ht="14.4" hidden="false" customHeight="false" outlineLevel="0" collapsed="false">
      <c r="A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customFormat="false" ht="14.4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customFormat="false" ht="14.4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customFormat="false" ht="14.4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customFormat="false" ht="14.4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customFormat="false" ht="14.4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customFormat="false" ht="14.4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customFormat="false" ht="14.4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customFormat="false" ht="14.4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customFormat="false" ht="14.4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customFormat="false" ht="14.4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customFormat="false" ht="14.4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customFormat="false" ht="14.4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customFormat="false" ht="14.4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customFormat="false" ht="14.4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customFormat="false" ht="14.4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customFormat="false" ht="14.4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customFormat="false" ht="14.4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customFormat="false" ht="14.4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customFormat="false" ht="14.4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customFormat="false" ht="14.4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customFormat="false" ht="14.4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customFormat="false" ht="14.4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customFormat="false" ht="14.4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customFormat="false" ht="14.4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customFormat="false" ht="14.4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customFormat="false" ht="14.4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customFormat="false" ht="14.4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customFormat="false" ht="14.4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customFormat="false" ht="14.4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customFormat="false" ht="14.4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customFormat="false" ht="14.4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customFormat="false" ht="14.4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customFormat="false" ht="14.4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customFormat="false" ht="14.4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customFormat="false" ht="14.4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customFormat="false" ht="14.4" hidden="false" customHeight="false" outlineLevel="0" collapsed="false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</sheetData>
  <mergeCells count="7">
    <mergeCell ref="I5:L5"/>
    <mergeCell ref="D9:L9"/>
    <mergeCell ref="D20:L20"/>
    <mergeCell ref="D22:L22"/>
    <mergeCell ref="D24:L24"/>
    <mergeCell ref="D31:L31"/>
    <mergeCell ref="D33:L33"/>
  </mergeCells>
  <dataValidations count="1">
    <dataValidation allowBlank="true" operator="between" showDropDown="false" showErrorMessage="true" showInputMessage="true" sqref="D31:M31" type="list">
      <formula1>$Q$31:$Q$32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RowHeight="14.4" zeroHeight="false" outlineLevelRow="0" outlineLevelCol="0"/>
  <cols>
    <col collapsed="false" customWidth="true" hidden="false" outlineLevel="0" max="1" min="1" style="0" width="45.33"/>
    <col collapsed="false" customWidth="true" hidden="false" outlineLevel="0" max="2" min="2" style="0" width="10.66"/>
    <col collapsed="false" customWidth="true" hidden="false" outlineLevel="0" max="3" min="3" style="0" width="8.67"/>
    <col collapsed="false" customWidth="true" hidden="false" outlineLevel="0" max="4" min="4" style="0" width="27.66"/>
    <col collapsed="false" customWidth="true" hidden="false" outlineLevel="0" max="5" min="5" style="0" width="23.11"/>
    <col collapsed="false" customWidth="true" hidden="false" outlineLevel="0" max="6" min="6" style="0" width="8.67"/>
    <col collapsed="false" customWidth="true" hidden="false" outlineLevel="0" max="7" min="7" style="0" width="22.01"/>
    <col collapsed="false" customWidth="true" hidden="false" outlineLevel="0" max="8" min="8" style="0" width="22.11"/>
    <col collapsed="false" customWidth="true" hidden="false" outlineLevel="0" max="9" min="9" style="0" width="8.67"/>
    <col collapsed="false" customWidth="true" hidden="false" outlineLevel="0" max="10" min="10" style="0" width="22.01"/>
    <col collapsed="false" customWidth="true" hidden="false" outlineLevel="0" max="11" min="11" style="0" width="20.11"/>
    <col collapsed="false" customWidth="true" hidden="false" outlineLevel="0" max="12" min="12" style="0" width="8.67"/>
    <col collapsed="false" customWidth="true" hidden="false" outlineLevel="0" max="13" min="13" style="0" width="12.66"/>
    <col collapsed="false" customWidth="true" hidden="false" outlineLevel="0" max="1025" min="14" style="0" width="8.67"/>
  </cols>
  <sheetData>
    <row r="1" customFormat="false" ht="14.4" hidden="false" customHeight="false" outlineLevel="0" collapsed="false">
      <c r="A1" s="121" t="s">
        <v>170</v>
      </c>
      <c r="B1" s="121" t="s">
        <v>171</v>
      </c>
    </row>
    <row r="2" customFormat="false" ht="14.4" hidden="false" customHeight="false" outlineLevel="0" collapsed="false">
      <c r="A2" s="122" t="s">
        <v>172</v>
      </c>
      <c r="B2" s="122" t="s">
        <v>173</v>
      </c>
      <c r="C2" s="123"/>
    </row>
    <row r="3" customFormat="false" ht="14.4" hidden="false" customHeight="false" outlineLevel="0" collapsed="false">
      <c r="A3" s="122" t="s">
        <v>174</v>
      </c>
      <c r="B3" s="122" t="s">
        <v>173</v>
      </c>
      <c r="C3" s="123"/>
    </row>
    <row r="4" customFormat="false" ht="14.4" hidden="false" customHeight="false" outlineLevel="0" collapsed="false">
      <c r="A4" s="122" t="s">
        <v>175</v>
      </c>
      <c r="B4" s="122" t="s">
        <v>173</v>
      </c>
      <c r="C4" s="123"/>
    </row>
    <row r="5" customFormat="false" ht="14.4" hidden="false" customHeight="false" outlineLevel="0" collapsed="false">
      <c r="A5" s="122" t="s">
        <v>176</v>
      </c>
      <c r="B5" s="122" t="s">
        <v>173</v>
      </c>
      <c r="C5" s="123"/>
    </row>
    <row r="6" customFormat="false" ht="14.4" hidden="false" customHeight="false" outlineLevel="0" collapsed="false">
      <c r="A6" s="124" t="s">
        <v>177</v>
      </c>
      <c r="B6" s="124" t="s">
        <v>178</v>
      </c>
      <c r="C6" s="123"/>
    </row>
    <row r="7" customFormat="false" ht="14.4" hidden="false" customHeight="false" outlineLevel="0" collapsed="false">
      <c r="A7" s="124" t="s">
        <v>179</v>
      </c>
      <c r="B7" s="124" t="s">
        <v>178</v>
      </c>
      <c r="C7" s="123"/>
    </row>
    <row r="8" customFormat="false" ht="14.4" hidden="false" customHeight="false" outlineLevel="0" collapsed="false">
      <c r="A8" s="124" t="s">
        <v>180</v>
      </c>
      <c r="B8" s="124" t="s">
        <v>181</v>
      </c>
      <c r="C8" s="123"/>
    </row>
    <row r="9" customFormat="false" ht="14.4" hidden="false" customHeight="false" outlineLevel="0" collapsed="false">
      <c r="A9" s="124" t="s">
        <v>182</v>
      </c>
      <c r="B9" s="124" t="s">
        <v>181</v>
      </c>
      <c r="C9" s="123"/>
    </row>
    <row r="10" customFormat="false" ht="14.4" hidden="false" customHeight="false" outlineLevel="0" collapsed="false">
      <c r="A10" s="124" t="s">
        <v>183</v>
      </c>
      <c r="B10" s="124" t="s">
        <v>181</v>
      </c>
      <c r="C10" s="123"/>
    </row>
    <row r="11" customFormat="false" ht="14.4" hidden="false" customHeight="false" outlineLevel="0" collapsed="false">
      <c r="A11" s="124" t="s">
        <v>184</v>
      </c>
      <c r="B11" s="124" t="s">
        <v>181</v>
      </c>
      <c r="C11" s="123"/>
    </row>
    <row r="12" customFormat="false" ht="14.4" hidden="false" customHeight="false" outlineLevel="0" collapsed="false">
      <c r="A12" s="124" t="s">
        <v>185</v>
      </c>
      <c r="B12" s="124" t="s">
        <v>186</v>
      </c>
      <c r="C12" s="123"/>
    </row>
    <row r="13" customFormat="false" ht="14.4" hidden="false" customHeight="false" outlineLevel="0" collapsed="false">
      <c r="A13" s="122" t="s">
        <v>187</v>
      </c>
      <c r="B13" s="122" t="s">
        <v>186</v>
      </c>
      <c r="C13" s="123"/>
    </row>
    <row r="14" customFormat="false" ht="14.4" hidden="false" customHeight="false" outlineLevel="0" collapsed="false">
      <c r="A14" s="122" t="s">
        <v>188</v>
      </c>
      <c r="B14" s="122" t="s">
        <v>186</v>
      </c>
      <c r="C14" s="123"/>
    </row>
    <row r="15" customFormat="false" ht="14.4" hidden="false" customHeight="false" outlineLevel="0" collapsed="false">
      <c r="A15" s="122" t="s">
        <v>189</v>
      </c>
      <c r="B15" s="122" t="s">
        <v>186</v>
      </c>
      <c r="C15" s="12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2016-02-23T08:55:03Z</dcterms:created>
  <dc:creator>Marcin Krajka</dc:creator>
  <dc:description/>
  <dc:language>pl-PL</dc:language>
  <cp:lastModifiedBy/>
  <cp:lastPrinted>2016-07-06T06:47:26Z</cp:lastPrinted>
  <dcterms:modified xsi:type="dcterms:W3CDTF">2018-07-22T18:47:07Z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0x01010036028F8C018611448648627046D9032C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